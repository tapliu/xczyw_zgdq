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Sheet1!$O$1:$O$101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<sst xmlns="http://schemas.openxmlformats.org/spreadsheetml/2006/main" count="546" uniqueCount="379">
  <si>
    <t>排名</t>
  </si>
  <si>
    <t>武将名</t>
  </si>
  <si>
    <t>统率</t>
  </si>
  <si>
    <t>武勇</t>
  </si>
  <si>
    <t>智略</t>
  </si>
  <si>
    <t>政务</t>
  </si>
  <si>
    <t>综合总值</t>
  </si>
  <si>
    <t>评级</t>
  </si>
  <si>
    <t>武</t>
  </si>
  <si>
    <t>文</t>
  </si>
  <si>
    <t>MAX</t>
  </si>
  <si>
    <t>武评</t>
  </si>
  <si>
    <t>文评</t>
  </si>
  <si>
    <t>特评</t>
  </si>
  <si>
    <t>综评</t>
  </si>
  <si>
    <t>织田信长</t>
  </si>
  <si>
    <t>武田信玄</t>
  </si>
  <si>
    <t>北条早云</t>
  </si>
  <si>
    <t>德川家康</t>
  </si>
  <si>
    <t>毛利元就</t>
  </si>
  <si>
    <t>丰臣秀吉</t>
  </si>
  <si>
    <t>明智光秀</t>
  </si>
  <si>
    <t>北条氏康</t>
  </si>
  <si>
    <t>上杉谦信</t>
  </si>
  <si>
    <t>伊达政宗</t>
  </si>
  <si>
    <t>北条氏纲</t>
  </si>
  <si>
    <t>今川义元</t>
  </si>
  <si>
    <t>真田昌幸</t>
  </si>
  <si>
    <t>长宗我部元亲</t>
  </si>
  <si>
    <t>岛津义弘</t>
  </si>
  <si>
    <t>斋藤道三</t>
  </si>
  <si>
    <t>小早川隆景</t>
  </si>
  <si>
    <t>黑田官兵卫</t>
  </si>
  <si>
    <t>最上义光</t>
  </si>
  <si>
    <t>立花道雪</t>
  </si>
  <si>
    <t>尼子经久</t>
  </si>
  <si>
    <t>锅岛直茂</t>
  </si>
  <si>
    <t>太原雪斋</t>
  </si>
  <si>
    <t>宇喜多直家</t>
  </si>
  <si>
    <t>吉川元春</t>
  </si>
  <si>
    <t>龙造寺隆信</t>
  </si>
  <si>
    <t>片仓小十郎</t>
  </si>
  <si>
    <t>大内义隆</t>
  </si>
  <si>
    <t>本多忠胜</t>
  </si>
  <si>
    <t>岛津家久</t>
  </si>
  <si>
    <t>真田幸隆</t>
  </si>
  <si>
    <t>蒲生氏乡</t>
  </si>
  <si>
    <t>浅野长政</t>
  </si>
  <si>
    <t>细川藤孝</t>
  </si>
  <si>
    <t>石田三成</t>
  </si>
  <si>
    <t>大友宗麟</t>
  </si>
  <si>
    <t>津轻为信</t>
  </si>
  <si>
    <t>藤堂高虎</t>
  </si>
  <si>
    <t>南部晴政</t>
  </si>
  <si>
    <t>柴田胜家</t>
  </si>
  <si>
    <t>立花宗茂</t>
  </si>
  <si>
    <t>前田利家</t>
  </si>
  <si>
    <t>长野业正</t>
  </si>
  <si>
    <t>泷川一益</t>
  </si>
  <si>
    <t>本愿寺显如</t>
  </si>
  <si>
    <t>三好实休</t>
  </si>
  <si>
    <t>土居清良</t>
  </si>
  <si>
    <t>加藤清正</t>
  </si>
  <si>
    <t>浅井长政</t>
  </si>
  <si>
    <t>大谷吉继</t>
  </si>
  <si>
    <t>黑田长政</t>
  </si>
  <si>
    <t>福岛正则</t>
  </si>
  <si>
    <t>高桥绍运</t>
  </si>
  <si>
    <t>柿崎景家</t>
  </si>
  <si>
    <t>真田信之</t>
  </si>
  <si>
    <t>毛利辉元</t>
  </si>
  <si>
    <t>山名宗全</t>
  </si>
  <si>
    <t>六角定赖</t>
  </si>
  <si>
    <t>伊达植宗</t>
  </si>
  <si>
    <t>朝仓孝景</t>
  </si>
  <si>
    <t>赤井直家</t>
  </si>
  <si>
    <t>岛津义久</t>
  </si>
  <si>
    <t>丹羽长秀</t>
  </si>
  <si>
    <t>岛津日新斋</t>
  </si>
  <si>
    <t>伊达晴宗</t>
  </si>
  <si>
    <t>蜂须贺正胜</t>
  </si>
  <si>
    <t>九鬼嘉隆</t>
  </si>
  <si>
    <t>直江兼续</t>
  </si>
  <si>
    <t>竹中半兵卫</t>
  </si>
  <si>
    <t>浅利又太郎</t>
  </si>
  <si>
    <t>最上义守</t>
  </si>
  <si>
    <t>松永久秀</t>
  </si>
  <si>
    <t>上杉景胜</t>
  </si>
  <si>
    <t>毛利弘元</t>
  </si>
  <si>
    <t>佐竹义重</t>
  </si>
  <si>
    <t>北条纲成</t>
  </si>
  <si>
    <t>陶隆房</t>
  </si>
  <si>
    <t>大内弘世</t>
  </si>
  <si>
    <t>小早川秀秋</t>
  </si>
  <si>
    <t>结城晴朝</t>
  </si>
  <si>
    <t>宇喜多秀家</t>
  </si>
  <si>
    <t>大友义镇</t>
  </si>
  <si>
    <t>芦名盛氏</t>
  </si>
  <si>
    <t>伊达家实</t>
  </si>
  <si>
    <t>若宫明景</t>
  </si>
  <si>
    <t>六角义贤</t>
  </si>
  <si>
    <t>里见义尧</t>
  </si>
  <si>
    <t>最上义康</t>
  </si>
  <si>
    <t>北条幻庵</t>
  </si>
  <si>
    <t>三好长庆</t>
  </si>
  <si>
    <t>武田信繁</t>
  </si>
  <si>
    <t>前田庆次</t>
  </si>
  <si>
    <t>岛津贵久</t>
  </si>
  <si>
    <t>相良义阳</t>
  </si>
  <si>
    <t>朝仓义景</t>
  </si>
  <si>
    <t>村上义清</t>
  </si>
  <si>
    <t>小田氏治</t>
  </si>
  <si>
    <t>武田胜赖</t>
  </si>
  <si>
    <t>六角义治</t>
  </si>
  <si>
    <t>蒲生贤秀</t>
  </si>
  <si>
    <t>武力</t>
  </si>
  <si>
    <t>智力</t>
  </si>
  <si>
    <t>政治</t>
  </si>
  <si>
    <t>魅力</t>
  </si>
  <si>
    <t>综合</t>
  </si>
  <si>
    <t>特</t>
  </si>
  <si>
    <t>曹操</t>
  </si>
  <si>
    <t>周瑜</t>
  </si>
  <si>
    <t>司马懿</t>
  </si>
  <si>
    <t>陆逊</t>
  </si>
  <si>
    <t>孙坚</t>
  </si>
  <si>
    <t>吕蒙</t>
  </si>
  <si>
    <t>邓艾</t>
  </si>
  <si>
    <t>关羽</t>
  </si>
  <si>
    <t>陆抗</t>
  </si>
  <si>
    <t>羊祜</t>
  </si>
  <si>
    <t>杜预</t>
  </si>
  <si>
    <t>孙策</t>
  </si>
  <si>
    <t>孙权</t>
  </si>
  <si>
    <t>诸葛亮</t>
  </si>
  <si>
    <t>姜维</t>
  </si>
  <si>
    <t>钟会</t>
  </si>
  <si>
    <t>曹丕</t>
  </si>
  <si>
    <t>鲁肃</t>
  </si>
  <si>
    <t>刘备</t>
  </si>
  <si>
    <t>赵云</t>
  </si>
  <si>
    <t>王濬</t>
  </si>
  <si>
    <t>满宠</t>
  </si>
  <si>
    <t>徐庶</t>
  </si>
  <si>
    <t>袁绍</t>
  </si>
  <si>
    <t>陈泰</t>
  </si>
  <si>
    <t>法正</t>
  </si>
  <si>
    <t>庞统</t>
  </si>
  <si>
    <t>陈宫</t>
  </si>
  <si>
    <t>韩遂</t>
  </si>
  <si>
    <t>诸葛瑾</t>
  </si>
  <si>
    <t>程普</t>
  </si>
  <si>
    <t>李典</t>
  </si>
  <si>
    <t>全琮</t>
  </si>
  <si>
    <t>徐盛</t>
  </si>
  <si>
    <t>朱然</t>
  </si>
  <si>
    <t>程昱</t>
  </si>
  <si>
    <t>太史慈</t>
  </si>
  <si>
    <t>夏侯惇</t>
  </si>
  <si>
    <t>张任</t>
  </si>
  <si>
    <t>朱桓</t>
  </si>
  <si>
    <t>徐晃</t>
  </si>
  <si>
    <t>黄忠</t>
  </si>
  <si>
    <t>黄盖</t>
  </si>
  <si>
    <t>马谡</t>
  </si>
  <si>
    <t>马良</t>
  </si>
  <si>
    <t>关平</t>
  </si>
  <si>
    <t>张鲁</t>
  </si>
  <si>
    <t>丁奉</t>
  </si>
  <si>
    <t>沮授</t>
  </si>
  <si>
    <t>张郃</t>
  </si>
  <si>
    <t>魏延</t>
  </si>
  <si>
    <t>严颜</t>
  </si>
  <si>
    <t>曹仁</t>
  </si>
  <si>
    <t>韩当</t>
  </si>
  <si>
    <t>刘表</t>
  </si>
  <si>
    <t>田丰</t>
  </si>
  <si>
    <t>曹植</t>
  </si>
  <si>
    <t>公孙瓒</t>
  </si>
  <si>
    <t>荀彧</t>
  </si>
  <si>
    <t>贾诩</t>
  </si>
  <si>
    <t>甘宁</t>
  </si>
  <si>
    <t>夏侯渊</t>
  </si>
  <si>
    <t>凌统</t>
  </si>
  <si>
    <t>蔡瑁</t>
  </si>
  <si>
    <t>公孙度</t>
  </si>
  <si>
    <t>于禁</t>
  </si>
  <si>
    <t>马腾</t>
  </si>
  <si>
    <t>文鸯</t>
  </si>
  <si>
    <t>高顺</t>
  </si>
  <si>
    <t>马超</t>
  </si>
  <si>
    <t>吕布</t>
  </si>
  <si>
    <t>乐进</t>
  </si>
  <si>
    <t>周泰</t>
  </si>
  <si>
    <t>荀攸</t>
  </si>
  <si>
    <t>蒯越</t>
  </si>
  <si>
    <t>曹洪</t>
  </si>
  <si>
    <t>张纮</t>
  </si>
  <si>
    <t>刘璋</t>
  </si>
  <si>
    <t>张昭</t>
  </si>
  <si>
    <t>李儒</t>
  </si>
  <si>
    <t>周仓</t>
  </si>
  <si>
    <t>董卓</t>
  </si>
  <si>
    <t>袁术</t>
  </si>
  <si>
    <t>阎圃</t>
  </si>
  <si>
    <t>孟获</t>
  </si>
  <si>
    <t>郭嘉</t>
  </si>
  <si>
    <t>颜良</t>
  </si>
  <si>
    <t>许褚</t>
  </si>
  <si>
    <t>典韦</t>
  </si>
  <si>
    <t>文丑</t>
  </si>
  <si>
    <t>祝融</t>
  </si>
  <si>
    <t>兀突骨</t>
  </si>
  <si>
    <t>曹真</t>
  </si>
  <si>
    <t>郝昭</t>
  </si>
  <si>
    <t>郭淮</t>
  </si>
  <si>
    <t>陆凯</t>
  </si>
  <si>
    <t>费祎</t>
  </si>
  <si>
    <t>蒋琬</t>
  </si>
  <si>
    <t>董允</t>
  </si>
  <si>
    <t>孙韶</t>
  </si>
  <si>
    <t>张飞</t>
  </si>
  <si>
    <t>序号</t>
  </si>
  <si>
    <t>性别</t>
  </si>
  <si>
    <t>姓名</t>
  </si>
  <si>
    <t>统帅</t>
  </si>
  <si>
    <t>总和</t>
  </si>
  <si>
    <t>目标</t>
  </si>
  <si>
    <t>类型</t>
  </si>
  <si>
    <t>power</t>
  </si>
  <si>
    <t>男</t>
  </si>
  <si>
    <t>黄宇翔</t>
  </si>
  <si>
    <t>S+</t>
  </si>
  <si>
    <t>军神</t>
  </si>
  <si>
    <t>上杉</t>
  </si>
  <si>
    <t>武门栋梁</t>
  </si>
  <si>
    <t>御旗盾无</t>
  </si>
  <si>
    <t>越后之龙</t>
  </si>
  <si>
    <t>女</t>
  </si>
  <si>
    <t>单钰莹</t>
  </si>
  <si>
    <t>S</t>
  </si>
  <si>
    <t>钓野伏</t>
  </si>
  <si>
    <t>铃木</t>
  </si>
  <si>
    <t>无伤雄师</t>
  </si>
  <si>
    <t>鬼左近</t>
  </si>
  <si>
    <t>飞龙在天</t>
  </si>
  <si>
    <t>林绮思</t>
  </si>
  <si>
    <t>上州黄斑</t>
  </si>
  <si>
    <t>伊达</t>
  </si>
  <si>
    <t>公家嗜好</t>
  </si>
  <si>
    <t>筑城名手</t>
  </si>
  <si>
    <t>短刀之契</t>
  </si>
  <si>
    <t>张梦心</t>
  </si>
  <si>
    <t>义之指挥</t>
  </si>
  <si>
    <t>德川</t>
  </si>
  <si>
    <t>深谙人心</t>
  </si>
  <si>
    <t>连歌百韵</t>
  </si>
  <si>
    <t>三乐犬</t>
  </si>
  <si>
    <t>任雨情</t>
  </si>
  <si>
    <t>啄木鸟</t>
  </si>
  <si>
    <t>最上</t>
  </si>
  <si>
    <t>清良记</t>
  </si>
  <si>
    <t>天下奉行</t>
  </si>
  <si>
    <t>龙骑兵</t>
  </si>
  <si>
    <t>于雅婷</t>
  </si>
  <si>
    <t>A</t>
  </si>
  <si>
    <t>蜻蛉切</t>
  </si>
  <si>
    <t>浪冈</t>
  </si>
  <si>
    <t>日本第一</t>
  </si>
  <si>
    <t>身经百战</t>
  </si>
  <si>
    <t>不惜身命</t>
  </si>
  <si>
    <t>赵海若</t>
  </si>
  <si>
    <t>千成瓢箪</t>
  </si>
  <si>
    <t>武田</t>
  </si>
  <si>
    <t>剑禅一致</t>
  </si>
  <si>
    <t>天下之智</t>
  </si>
  <si>
    <t>鲶尾盔</t>
  </si>
  <si>
    <t>司徒真真</t>
  </si>
  <si>
    <t>B</t>
  </si>
  <si>
    <t>柴田冲锋</t>
  </si>
  <si>
    <t>龙造寺</t>
  </si>
  <si>
    <t>雷电化身</t>
  </si>
  <si>
    <t>七难八苦</t>
  </si>
  <si>
    <t>鬼岛津</t>
  </si>
  <si>
    <t>南宫楚楚</t>
  </si>
  <si>
    <t>风林火山</t>
  </si>
  <si>
    <t>羽柴</t>
  </si>
  <si>
    <t>倾奇者</t>
  </si>
  <si>
    <t>鬼真壁</t>
  </si>
  <si>
    <t>铃鸣武者</t>
  </si>
  <si>
    <t>淡月</t>
  </si>
  <si>
    <t>C</t>
  </si>
  <si>
    <t>雷丸切</t>
  </si>
  <si>
    <t>今川</t>
  </si>
  <si>
    <t>真正的副将</t>
  </si>
  <si>
    <t>骑兵大将</t>
  </si>
  <si>
    <t>鬼十河</t>
  </si>
  <si>
    <t>张华庭</t>
  </si>
  <si>
    <t>六文钱</t>
  </si>
  <si>
    <t>本愿寺</t>
  </si>
  <si>
    <t>鬼美浓</t>
  </si>
  <si>
    <t>白头刑部</t>
  </si>
  <si>
    <t>毗沙门天</t>
  </si>
  <si>
    <t>朱棣</t>
  </si>
  <si>
    <t>骆三元</t>
  </si>
  <si>
    <t>本书核心男主，江湖顶尖战力，统筹人脉与江湖势力，智勇双全，不热衷朝堂权谋</t>
  </si>
  <si>
    <t>朝廷大员之女，后执掌魔教，武功高强，统领教众，性格泼辣，谋略中等</t>
  </si>
  <si>
    <t>顶级智囊，擅长权谋布局、人际周旋，武力偏弱，统筹规划能力极强</t>
  </si>
  <si>
    <t>江湖 “无双玉女”，天下第一智囊，心思缜密，擅长全局谋划，自身战力普通</t>
  </si>
  <si>
    <t>顶尖女武者，擅长带队行动，武艺出众，有谋略但不精通朝堂争斗</t>
  </si>
  <si>
    <t>擅长内政、交际与权谋，智力出众，武功平平，负责势力后勤与外交</t>
  </si>
  <si>
    <t>中原名师弟子，武力一流，心智单纯，不通权谋，可统领小队作战</t>
  </si>
  <si>
    <t>司徒家族成员，武功中等，执行力强，头脑简单，无高阶权谋能力</t>
  </si>
  <si>
    <t>江湖世家女子，综合能力均衡，擅长周旋于各派之间，战力平庸</t>
  </si>
  <si>
    <t>独行女武者，身手不俗，孤僻寡言，不擅长统领团队与权谋争斗</t>
  </si>
  <si>
    <t>江湖顶尖高手，一方势力首领，文武双全，江湖威望极高</t>
  </si>
  <si>
    <t>朝廷核心掌权者，军政一手统筹，权谋天下顶尖，武力为常规武将水准</t>
  </si>
  <si>
    <t>文官幕僚，精于地方政务与人情世故，武力低微，擅长基层管理</t>
  </si>
  <si>
    <t>司徒明</t>
  </si>
  <si>
    <t>杭州司徒家族子弟，蛮横跋扈，武功尚可，有小势力统领能力，智力不足</t>
  </si>
  <si>
    <t>司徒敏</t>
  </si>
  <si>
    <t>司徒明胞弟，联手作恶，战力与兄长相当，性格鲁莽，缺乏谋略</t>
  </si>
  <si>
    <t>玄阳教主</t>
  </si>
  <si>
    <t>老牌魔教教主，武林宿老，统领数万教众，武功登峰造极，深谙江湖博弈</t>
  </si>
  <si>
    <t>清玄道长</t>
  </si>
  <si>
    <t>正道大宗掌门，道门领袖，统筹正道联盟，智勇兼备，兼顾江湖与朝堂关系</t>
  </si>
  <si>
    <t>柳寒烟</t>
  </si>
  <si>
    <t>独行女剑仙，剑法凌厉，身手一流，常年独来独往，不喜结党与权谋</t>
  </si>
  <si>
    <t>周啸天</t>
  </si>
  <si>
    <t>江湖帮派帮主，冲锋陷阵能力强，擅长统领帮众，谋略浅显，不懂朝堂规则</t>
  </si>
  <si>
    <t>苏婉凝</t>
  </si>
  <si>
    <t>隐世谋士，擅长暗中布局、离间各派，交际与权谋能力顶尖，几乎不会武功</t>
  </si>
  <si>
    <t>秦长风</t>
  </si>
  <si>
    <t>正道门派长老，带队能力出色，武功一流，恪守门规，权谋手段一般</t>
  </si>
  <si>
    <t>叶灵溪</t>
  </si>
  <si>
    <t>江湖游侠少女，身手灵动，游走各方打探情报，无统领能力，心思机敏</t>
  </si>
  <si>
    <t>武千山</t>
  </si>
  <si>
    <t>江湖武斗派领袖，纯武人，战力强横，统领武馆武者，头脑耿直，不通权谋</t>
  </si>
  <si>
    <t>萧月蓉</t>
  </si>
  <si>
    <t>江湖商会主事，统筹商贸与情报网络，长袖善舞，擅长利益博弈，战力普通</t>
  </si>
  <si>
    <t>文谦</t>
  </si>
  <si>
    <t>朝廷翰林院文官，帝王近臣，朝堂权谋顶尖，手无缚鸡之力，擅长谏言布局</t>
  </si>
  <si>
    <t>石猛</t>
  </si>
  <si>
    <t>帮派先锋猛将，战力强悍，听从号令，性格粗莽，无独立谋略与政治头脑</t>
  </si>
  <si>
    <t>顾轻眉</t>
  </si>
  <si>
    <t>门派内务总管，统筹门派后勤、人事，心思缜密，擅长内部管理，战力偏弱</t>
  </si>
  <si>
    <t>江无涯</t>
  </si>
  <si>
    <t>江湖浪子侠客，人脉广阔，身手一流，擅长小队指挥，无心涉足朝堂权谋</t>
  </si>
  <si>
    <t>楚怜儿</t>
  </si>
  <si>
    <t>江湖青楼主事，混迹三教九流，擅长人际周旋，精通市井权谋，武功低微</t>
  </si>
  <si>
    <t>魏承业</t>
  </si>
  <si>
    <t>地方镇守武将，统兵守城，军政兼顾，武力为标准武将水平，深谙官场规则</t>
  </si>
  <si>
    <t>云芷仙</t>
  </si>
  <si>
    <t>修仙旁支女修，游走江湖，身手均衡，行事随性，不参与高层权力争斗</t>
  </si>
  <si>
    <t>墨尘子</t>
  </si>
  <si>
    <t>隐世江湖智者，游走正邪两派，擅长出谋划策，武功不俗，无意执掌大权</t>
  </si>
  <si>
    <t>孟霜</t>
  </si>
  <si>
    <t>杀手组织女首领，近身搏杀强悍，统领少量杀手，行事狠辣，格局局限于暗杀</t>
  </si>
  <si>
    <t>赵将军</t>
  </si>
  <si>
    <t>边关大将军，统帅大军作战，沙场能力顶尖，朝堂中规中矩，武力为武将巅峰</t>
  </si>
  <si>
    <t>温绮罗</t>
  </si>
  <si>
    <t>世家闺秀，串联各大江湖世家，擅长联姻、人脉整合，谋略出众，战力不足</t>
  </si>
  <si>
    <t>刘师培</t>
  </si>
  <si>
    <t>全能+5</t>
  </si>
  <si>
    <t>杨沁怡</t>
  </si>
  <si>
    <t>特性</t>
  </si>
  <si>
    <t>于静雯</t>
  </si>
  <si>
    <t>周丽贞</t>
  </si>
  <si>
    <t>S-</t>
  </si>
  <si>
    <t>郑吉星</t>
  </si>
  <si>
    <t>周吉梦</t>
  </si>
  <si>
    <t>A+</t>
  </si>
  <si>
    <t>刘嘉敏</t>
  </si>
  <si>
    <t>鄢小艳</t>
  </si>
  <si>
    <t>陈宇翀</t>
  </si>
  <si>
    <t>王诗雅</t>
  </si>
  <si>
    <t>A-</t>
  </si>
  <si>
    <t>刘雪琪</t>
  </si>
  <si>
    <t>何颖潮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</si>
</sst>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zoomScale="85" zoomScaleNormal="85" topLeftCell="A53" workbookViewId="0">
      <selection activeCell="B89" sqref="B89"/>
    </sheetView>
  </sheetViews>
  <sheetFormatPr defaultColWidth="10.8787878787879" defaultRowHeight="15.6"/>
  <cols>
    <col min="1" max="1" width="6" style="1" customWidth="1"/>
    <col min="2" max="2" width="14.1287878787879" style="1" customWidth="1"/>
    <col min="3" max="16384" width="10.8787878787879" style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 s="1">
        <v>1</v>
      </c>
      <c r="B2" s="1" t="s">
        <v>15</v>
      </c>
      <c r="C2" s="1">
        <v>99</v>
      </c>
      <c r="D2" s="1">
        <v>88</v>
      </c>
      <c r="E2" s="1">
        <v>95</v>
      </c>
      <c r="F2" s="1">
        <v>100</v>
      </c>
      <c r="G2" s="1">
        <v>382</v>
      </c>
      <c r="H2" s="1" t="str">
        <f t="shared" ref="H2:H33" si="0">IF(G2&gt;380,"S+",IF(G2&gt;370,"S",IF(G2&gt;350,"A",IF(G2&gt;325,"B",IF(G2&gt;300,"C","D")))))</f>
        <v>S+</v>
      </c>
      <c r="I2" s="1">
        <f>AVERAGE(C2:D2)</f>
        <v>93.5</v>
      </c>
      <c r="J2" s="1">
        <f>AVERAGE(E2:F2)</f>
        <v>97.5</v>
      </c>
      <c r="K2" s="1">
        <f>MAX(C2:F2)</f>
        <v>100</v>
      </c>
      <c r="L2" s="4" t="str">
        <f>IF(I2=100,"S+",IF(I2&gt;=94,"S",IF(I2&gt;=88,"A",IF(I2&gt;=82,"B",IF(I2&gt;=76,"C","D")))))</f>
        <v>A</v>
      </c>
      <c r="M2" s="2" t="str">
        <f t="shared" ref="M2:N2" si="1">IF(J2=100,"S+",IF(J2&gt;=94,"S",IF(J2&gt;=88,"A",IF(J2&gt;=82,"B",IF(J2&gt;=76,"C","D")))))</f>
        <v>S</v>
      </c>
      <c r="N2" s="3" t="str">
        <f t="shared" si="1"/>
        <v>S+</v>
      </c>
      <c r="O2" s="9" t="str">
        <f>IF(AND(I2&gt;=90,J2&gt;=90),"全能",IF(AND(OR(I2&lt;80,J2&lt;80),K2&gt;=90),"特才",IF(I2&gt;J2,"武将","文臣")))</f>
        <v>全能</v>
      </c>
    </row>
    <row r="3" spans="1:15">
      <c r="A3" s="1">
        <v>2</v>
      </c>
      <c r="B3" s="1" t="s">
        <v>16</v>
      </c>
      <c r="C3" s="1">
        <v>100</v>
      </c>
      <c r="D3" s="1">
        <v>89</v>
      </c>
      <c r="E3" s="1">
        <v>96</v>
      </c>
      <c r="F3" s="1">
        <v>95</v>
      </c>
      <c r="G3" s="1">
        <v>380</v>
      </c>
      <c r="H3" s="1" t="str">
        <f t="shared" si="0"/>
        <v>S</v>
      </c>
      <c r="I3" s="1">
        <f t="shared" ref="I3:I66" si="2">AVERAGE(C3:D3)</f>
        <v>94.5</v>
      </c>
      <c r="J3" s="1">
        <f t="shared" ref="J3:J66" si="3">AVERAGE(E3:F3)</f>
        <v>95.5</v>
      </c>
      <c r="K3" s="1">
        <f t="shared" ref="K3:K66" si="4">MAX(C3:F3)</f>
        <v>100</v>
      </c>
      <c r="L3" s="2" t="str">
        <f t="shared" ref="L3:L66" si="5">IF(I3=100,"S+",IF(I3&gt;=94,"S",IF(I3&gt;=88,"A",IF(I3&gt;=82,"B",IF(I3&gt;=76,"C","D")))))</f>
        <v>S</v>
      </c>
      <c r="M3" s="2" t="str">
        <f t="shared" ref="M3:M66" si="6">IF(J3=100,"S+",IF(J3&gt;=94,"S",IF(J3&gt;=88,"A",IF(J3&gt;=82,"B",IF(J3&gt;=76,"C","D")))))</f>
        <v>S</v>
      </c>
      <c r="N3" s="3" t="str">
        <f t="shared" ref="N3:N66" si="7">IF(K3=100,"S+",IF(K3&gt;=94,"S",IF(K3&gt;=88,"A",IF(K3&gt;=82,"B",IF(K3&gt;=76,"C","D")))))</f>
        <v>S+</v>
      </c>
      <c r="O3" s="9" t="str">
        <f t="shared" ref="O3:O66" si="8">IF(AND(I3&gt;=90,J3&gt;=90),"全能",IF(AND(OR(I3&lt;80,J3&lt;80),K3&gt;=90),"特才",IF(I3&gt;J3,"武将","文臣")))</f>
        <v>全能</v>
      </c>
    </row>
    <row r="4" spans="1:15">
      <c r="A4" s="1">
        <v>3</v>
      </c>
      <c r="B4" s="1" t="s">
        <v>17</v>
      </c>
      <c r="C4" s="1">
        <v>93</v>
      </c>
      <c r="D4" s="1">
        <v>91</v>
      </c>
      <c r="E4" s="1">
        <v>99</v>
      </c>
      <c r="F4" s="1">
        <v>94</v>
      </c>
      <c r="G4" s="1">
        <v>377</v>
      </c>
      <c r="H4" s="1" t="str">
        <f t="shared" si="0"/>
        <v>S</v>
      </c>
      <c r="I4" s="1">
        <f t="shared" si="2"/>
        <v>92</v>
      </c>
      <c r="J4" s="1">
        <f t="shared" si="3"/>
        <v>96.5</v>
      </c>
      <c r="K4" s="1">
        <f t="shared" si="4"/>
        <v>99</v>
      </c>
      <c r="L4" s="4" t="str">
        <f t="shared" si="5"/>
        <v>A</v>
      </c>
      <c r="M4" s="2" t="str">
        <f t="shared" si="6"/>
        <v>S</v>
      </c>
      <c r="N4" s="2" t="str">
        <f t="shared" si="7"/>
        <v>S</v>
      </c>
      <c r="O4" s="9" t="str">
        <f t="shared" si="8"/>
        <v>全能</v>
      </c>
    </row>
    <row r="5" spans="1:15">
      <c r="A5" s="1">
        <v>4</v>
      </c>
      <c r="B5" s="1" t="s">
        <v>18</v>
      </c>
      <c r="C5" s="1">
        <v>98</v>
      </c>
      <c r="D5" s="1">
        <v>90</v>
      </c>
      <c r="E5" s="1">
        <v>90</v>
      </c>
      <c r="F5" s="1">
        <v>96</v>
      </c>
      <c r="G5" s="1">
        <v>374</v>
      </c>
      <c r="H5" s="1" t="str">
        <f t="shared" si="0"/>
        <v>S</v>
      </c>
      <c r="I5" s="1">
        <f t="shared" si="2"/>
        <v>94</v>
      </c>
      <c r="J5" s="1">
        <f t="shared" si="3"/>
        <v>93</v>
      </c>
      <c r="K5" s="1">
        <f t="shared" si="4"/>
        <v>98</v>
      </c>
      <c r="L5" s="2" t="str">
        <f t="shared" si="5"/>
        <v>S</v>
      </c>
      <c r="M5" s="4" t="str">
        <f t="shared" si="6"/>
        <v>A</v>
      </c>
      <c r="N5" s="2" t="str">
        <f t="shared" si="7"/>
        <v>S</v>
      </c>
      <c r="O5" s="9" t="str">
        <f t="shared" si="8"/>
        <v>全能</v>
      </c>
    </row>
    <row r="6" spans="1:15">
      <c r="A6" s="1">
        <v>5</v>
      </c>
      <c r="B6" s="1" t="s">
        <v>19</v>
      </c>
      <c r="C6" s="1">
        <v>97</v>
      </c>
      <c r="D6" s="1">
        <v>80</v>
      </c>
      <c r="E6" s="1">
        <v>100</v>
      </c>
      <c r="F6" s="1">
        <v>96</v>
      </c>
      <c r="G6" s="1">
        <v>373</v>
      </c>
      <c r="H6" s="1" t="str">
        <f t="shared" si="0"/>
        <v>S</v>
      </c>
      <c r="I6" s="1">
        <f t="shared" si="2"/>
        <v>88.5</v>
      </c>
      <c r="J6" s="1">
        <f t="shared" si="3"/>
        <v>98</v>
      </c>
      <c r="K6" s="1">
        <f t="shared" si="4"/>
        <v>100</v>
      </c>
      <c r="L6" s="4" t="str">
        <f t="shared" si="5"/>
        <v>A</v>
      </c>
      <c r="M6" s="2" t="str">
        <f t="shared" si="6"/>
        <v>S</v>
      </c>
      <c r="N6" s="3" t="str">
        <f t="shared" si="7"/>
        <v>S+</v>
      </c>
      <c r="O6" s="9" t="str">
        <f t="shared" si="8"/>
        <v>文臣</v>
      </c>
    </row>
    <row r="7" spans="1:15">
      <c r="A7" s="1">
        <v>6</v>
      </c>
      <c r="B7" s="1" t="s">
        <v>20</v>
      </c>
      <c r="C7" s="1">
        <v>96</v>
      </c>
      <c r="D7" s="1">
        <v>82</v>
      </c>
      <c r="E7" s="1">
        <v>99</v>
      </c>
      <c r="F7" s="1">
        <v>95</v>
      </c>
      <c r="G7" s="1">
        <v>372</v>
      </c>
      <c r="H7" s="1" t="str">
        <f t="shared" si="0"/>
        <v>S</v>
      </c>
      <c r="I7" s="1">
        <f t="shared" si="2"/>
        <v>89</v>
      </c>
      <c r="J7" s="1">
        <f t="shared" si="3"/>
        <v>97</v>
      </c>
      <c r="K7" s="1">
        <f t="shared" si="4"/>
        <v>99</v>
      </c>
      <c r="L7" s="4" t="str">
        <f t="shared" si="5"/>
        <v>A</v>
      </c>
      <c r="M7" s="2" t="str">
        <f t="shared" si="6"/>
        <v>S</v>
      </c>
      <c r="N7" s="2" t="str">
        <f t="shared" si="7"/>
        <v>S</v>
      </c>
      <c r="O7" s="9" t="str">
        <f t="shared" si="8"/>
        <v>文臣</v>
      </c>
    </row>
    <row r="8" spans="1:15">
      <c r="A8" s="1">
        <v>7</v>
      </c>
      <c r="B8" s="1" t="s">
        <v>21</v>
      </c>
      <c r="C8" s="1">
        <v>96</v>
      </c>
      <c r="D8" s="1">
        <v>85</v>
      </c>
      <c r="E8" s="1">
        <v>97</v>
      </c>
      <c r="F8" s="1">
        <v>92</v>
      </c>
      <c r="G8" s="1">
        <v>370</v>
      </c>
      <c r="H8" s="1" t="str">
        <f t="shared" si="0"/>
        <v>A</v>
      </c>
      <c r="I8" s="1">
        <f t="shared" si="2"/>
        <v>90.5</v>
      </c>
      <c r="J8" s="1">
        <f t="shared" si="3"/>
        <v>94.5</v>
      </c>
      <c r="K8" s="1">
        <f t="shared" si="4"/>
        <v>97</v>
      </c>
      <c r="L8" s="4" t="str">
        <f t="shared" si="5"/>
        <v>A</v>
      </c>
      <c r="M8" s="2" t="str">
        <f t="shared" si="6"/>
        <v>S</v>
      </c>
      <c r="N8" s="2" t="str">
        <f t="shared" si="7"/>
        <v>S</v>
      </c>
      <c r="O8" s="9" t="str">
        <f t="shared" si="8"/>
        <v>全能</v>
      </c>
    </row>
    <row r="9" spans="1:15">
      <c r="A9" s="1">
        <v>8</v>
      </c>
      <c r="B9" s="1" t="s">
        <v>22</v>
      </c>
      <c r="C9" s="1">
        <v>95</v>
      </c>
      <c r="D9" s="1">
        <v>86</v>
      </c>
      <c r="E9" s="1">
        <v>90</v>
      </c>
      <c r="F9" s="1">
        <v>93</v>
      </c>
      <c r="G9" s="1">
        <v>364</v>
      </c>
      <c r="H9" s="1" t="str">
        <f t="shared" si="0"/>
        <v>A</v>
      </c>
      <c r="I9" s="1">
        <f t="shared" si="2"/>
        <v>90.5</v>
      </c>
      <c r="J9" s="1">
        <f t="shared" si="3"/>
        <v>91.5</v>
      </c>
      <c r="K9" s="1">
        <f t="shared" si="4"/>
        <v>95</v>
      </c>
      <c r="L9" s="4" t="str">
        <f t="shared" si="5"/>
        <v>A</v>
      </c>
      <c r="M9" s="4" t="str">
        <f t="shared" si="6"/>
        <v>A</v>
      </c>
      <c r="N9" s="2" t="str">
        <f t="shared" si="7"/>
        <v>S</v>
      </c>
      <c r="O9" s="9" t="str">
        <f t="shared" si="8"/>
        <v>全能</v>
      </c>
    </row>
    <row r="10" spans="1:15">
      <c r="A10" s="1">
        <v>9</v>
      </c>
      <c r="B10" s="1" t="s">
        <v>23</v>
      </c>
      <c r="C10" s="1">
        <v>98</v>
      </c>
      <c r="D10" s="1">
        <v>100</v>
      </c>
      <c r="E10" s="1">
        <v>83</v>
      </c>
      <c r="F10" s="1">
        <v>82</v>
      </c>
      <c r="G10" s="1">
        <v>363</v>
      </c>
      <c r="H10" s="1" t="str">
        <f t="shared" si="0"/>
        <v>A</v>
      </c>
      <c r="I10" s="1">
        <f t="shared" si="2"/>
        <v>99</v>
      </c>
      <c r="J10" s="1">
        <f t="shared" si="3"/>
        <v>82.5</v>
      </c>
      <c r="K10" s="1">
        <f t="shared" si="4"/>
        <v>100</v>
      </c>
      <c r="L10" s="2" t="str">
        <f t="shared" si="5"/>
        <v>S</v>
      </c>
      <c r="M10" s="5" t="str">
        <f t="shared" si="6"/>
        <v>B</v>
      </c>
      <c r="N10" s="3" t="str">
        <f t="shared" si="7"/>
        <v>S+</v>
      </c>
      <c r="O10" s="9" t="str">
        <f t="shared" si="8"/>
        <v>武将</v>
      </c>
    </row>
    <row r="11" spans="1:15">
      <c r="A11" s="1">
        <v>10</v>
      </c>
      <c r="B11" s="1" t="s">
        <v>24</v>
      </c>
      <c r="C11" s="1">
        <v>94</v>
      </c>
      <c r="D11" s="1">
        <v>93</v>
      </c>
      <c r="E11" s="1">
        <v>92</v>
      </c>
      <c r="F11" s="1">
        <v>84</v>
      </c>
      <c r="G11" s="1">
        <v>363</v>
      </c>
      <c r="H11" s="1" t="str">
        <f t="shared" si="0"/>
        <v>A</v>
      </c>
      <c r="I11" s="1">
        <f t="shared" si="2"/>
        <v>93.5</v>
      </c>
      <c r="J11" s="1">
        <f t="shared" si="3"/>
        <v>88</v>
      </c>
      <c r="K11" s="1">
        <f t="shared" si="4"/>
        <v>94</v>
      </c>
      <c r="L11" s="4" t="str">
        <f t="shared" si="5"/>
        <v>A</v>
      </c>
      <c r="M11" s="4" t="str">
        <f t="shared" si="6"/>
        <v>A</v>
      </c>
      <c r="N11" s="2" t="str">
        <f t="shared" si="7"/>
        <v>S</v>
      </c>
      <c r="O11" s="9" t="str">
        <f t="shared" si="8"/>
        <v>武将</v>
      </c>
    </row>
    <row r="12" spans="1:15">
      <c r="A12" s="1">
        <v>11</v>
      </c>
      <c r="B12" s="1" t="s">
        <v>25</v>
      </c>
      <c r="C12" s="1">
        <v>95</v>
      </c>
      <c r="D12" s="1">
        <v>85</v>
      </c>
      <c r="E12" s="1">
        <v>91</v>
      </c>
      <c r="F12" s="1">
        <v>91</v>
      </c>
      <c r="G12" s="1">
        <v>362</v>
      </c>
      <c r="H12" s="1" t="str">
        <f t="shared" si="0"/>
        <v>A</v>
      </c>
      <c r="I12" s="1">
        <f t="shared" si="2"/>
        <v>90</v>
      </c>
      <c r="J12" s="1">
        <f t="shared" si="3"/>
        <v>91</v>
      </c>
      <c r="K12" s="1">
        <f t="shared" si="4"/>
        <v>95</v>
      </c>
      <c r="L12" s="4" t="str">
        <f t="shared" si="5"/>
        <v>A</v>
      </c>
      <c r="M12" s="4" t="str">
        <f t="shared" si="6"/>
        <v>A</v>
      </c>
      <c r="N12" s="2" t="str">
        <f t="shared" si="7"/>
        <v>S</v>
      </c>
      <c r="O12" s="9" t="str">
        <f t="shared" si="8"/>
        <v>全能</v>
      </c>
    </row>
    <row r="13" spans="1:15">
      <c r="A13" s="1">
        <v>12</v>
      </c>
      <c r="B13" s="1" t="s">
        <v>26</v>
      </c>
      <c r="C13" s="1">
        <v>93</v>
      </c>
      <c r="D13" s="1">
        <v>78</v>
      </c>
      <c r="E13" s="1">
        <v>91</v>
      </c>
      <c r="F13" s="1">
        <v>99</v>
      </c>
      <c r="G13" s="1">
        <v>361</v>
      </c>
      <c r="H13" s="1" t="str">
        <f t="shared" si="0"/>
        <v>A</v>
      </c>
      <c r="I13" s="1">
        <f t="shared" si="2"/>
        <v>85.5</v>
      </c>
      <c r="J13" s="1">
        <f t="shared" si="3"/>
        <v>95</v>
      </c>
      <c r="K13" s="1">
        <f t="shared" si="4"/>
        <v>99</v>
      </c>
      <c r="L13" s="5" t="str">
        <f t="shared" si="5"/>
        <v>B</v>
      </c>
      <c r="M13" s="2" t="str">
        <f t="shared" si="6"/>
        <v>S</v>
      </c>
      <c r="N13" s="2" t="str">
        <f t="shared" si="7"/>
        <v>S</v>
      </c>
      <c r="O13" s="9" t="str">
        <f t="shared" si="8"/>
        <v>文臣</v>
      </c>
    </row>
    <row r="14" spans="1:15">
      <c r="A14" s="1">
        <v>13</v>
      </c>
      <c r="B14" s="1" t="s">
        <v>27</v>
      </c>
      <c r="C14" s="1">
        <v>93</v>
      </c>
      <c r="D14" s="1">
        <v>78</v>
      </c>
      <c r="E14" s="1">
        <v>99</v>
      </c>
      <c r="F14" s="1">
        <v>88</v>
      </c>
      <c r="G14" s="1">
        <v>358</v>
      </c>
      <c r="H14" s="1" t="str">
        <f t="shared" si="0"/>
        <v>A</v>
      </c>
      <c r="I14" s="1">
        <f t="shared" si="2"/>
        <v>85.5</v>
      </c>
      <c r="J14" s="1">
        <f t="shared" si="3"/>
        <v>93.5</v>
      </c>
      <c r="K14" s="1">
        <f t="shared" si="4"/>
        <v>99</v>
      </c>
      <c r="L14" s="5" t="str">
        <f t="shared" si="5"/>
        <v>B</v>
      </c>
      <c r="M14" s="4" t="str">
        <f t="shared" si="6"/>
        <v>A</v>
      </c>
      <c r="N14" s="2" t="str">
        <f t="shared" si="7"/>
        <v>S</v>
      </c>
      <c r="O14" s="9" t="str">
        <f t="shared" si="8"/>
        <v>文臣</v>
      </c>
    </row>
    <row r="15" spans="1:15">
      <c r="A15" s="1">
        <v>14</v>
      </c>
      <c r="B15" s="1" t="s">
        <v>28</v>
      </c>
      <c r="C15" s="1">
        <v>94</v>
      </c>
      <c r="D15" s="1">
        <v>88</v>
      </c>
      <c r="E15" s="1">
        <v>91</v>
      </c>
      <c r="F15" s="1">
        <v>83</v>
      </c>
      <c r="G15" s="1">
        <v>356</v>
      </c>
      <c r="H15" s="1" t="str">
        <f t="shared" si="0"/>
        <v>A</v>
      </c>
      <c r="I15" s="1">
        <f t="shared" si="2"/>
        <v>91</v>
      </c>
      <c r="J15" s="1">
        <f t="shared" si="3"/>
        <v>87</v>
      </c>
      <c r="K15" s="1">
        <f t="shared" si="4"/>
        <v>94</v>
      </c>
      <c r="L15" s="4" t="str">
        <f t="shared" si="5"/>
        <v>A</v>
      </c>
      <c r="M15" s="5" t="str">
        <f t="shared" si="6"/>
        <v>B</v>
      </c>
      <c r="N15" s="2" t="str">
        <f t="shared" si="7"/>
        <v>S</v>
      </c>
      <c r="O15" s="9" t="str">
        <f t="shared" si="8"/>
        <v>武将</v>
      </c>
    </row>
    <row r="16" spans="1:15">
      <c r="A16" s="1">
        <v>15</v>
      </c>
      <c r="B16" s="1" t="s">
        <v>29</v>
      </c>
      <c r="C16" s="1">
        <v>95</v>
      </c>
      <c r="D16" s="1">
        <v>98</v>
      </c>
      <c r="E16" s="1">
        <v>82</v>
      </c>
      <c r="F16" s="1">
        <v>77</v>
      </c>
      <c r="G16" s="1">
        <v>352</v>
      </c>
      <c r="H16" s="1" t="str">
        <f t="shared" si="0"/>
        <v>A</v>
      </c>
      <c r="I16" s="1">
        <f t="shared" si="2"/>
        <v>96.5</v>
      </c>
      <c r="J16" s="1">
        <f t="shared" si="3"/>
        <v>79.5</v>
      </c>
      <c r="K16" s="1">
        <f t="shared" si="4"/>
        <v>98</v>
      </c>
      <c r="L16" s="2" t="str">
        <f t="shared" si="5"/>
        <v>S</v>
      </c>
      <c r="M16" s="6" t="str">
        <f t="shared" si="6"/>
        <v>C</v>
      </c>
      <c r="N16" s="2" t="str">
        <f t="shared" si="7"/>
        <v>S</v>
      </c>
      <c r="O16" s="9" t="str">
        <f t="shared" si="8"/>
        <v>特才</v>
      </c>
    </row>
    <row r="17" spans="1:15">
      <c r="A17" s="1">
        <v>16</v>
      </c>
      <c r="B17" s="1" t="s">
        <v>30</v>
      </c>
      <c r="C17" s="1">
        <v>88</v>
      </c>
      <c r="D17" s="1">
        <v>76</v>
      </c>
      <c r="E17" s="1">
        <v>99</v>
      </c>
      <c r="F17" s="1">
        <v>87</v>
      </c>
      <c r="G17" s="1">
        <v>350</v>
      </c>
      <c r="H17" s="1" t="str">
        <f t="shared" si="0"/>
        <v>B</v>
      </c>
      <c r="I17" s="1">
        <f t="shared" si="2"/>
        <v>82</v>
      </c>
      <c r="J17" s="1">
        <f t="shared" si="3"/>
        <v>93</v>
      </c>
      <c r="K17" s="1">
        <f t="shared" si="4"/>
        <v>99</v>
      </c>
      <c r="L17" s="5" t="str">
        <f t="shared" si="5"/>
        <v>B</v>
      </c>
      <c r="M17" s="4" t="str">
        <f t="shared" si="6"/>
        <v>A</v>
      </c>
      <c r="N17" s="2" t="str">
        <f t="shared" si="7"/>
        <v>S</v>
      </c>
      <c r="O17" s="9" t="str">
        <f t="shared" si="8"/>
        <v>文臣</v>
      </c>
    </row>
    <row r="18" spans="1:15">
      <c r="A18" s="1">
        <v>17</v>
      </c>
      <c r="B18" s="1" t="s">
        <v>31</v>
      </c>
      <c r="C18" s="1">
        <v>92</v>
      </c>
      <c r="D18" s="1">
        <v>76</v>
      </c>
      <c r="E18" s="1">
        <v>95</v>
      </c>
      <c r="F18" s="1">
        <v>85</v>
      </c>
      <c r="G18" s="1">
        <v>348</v>
      </c>
      <c r="H18" s="1" t="str">
        <f t="shared" si="0"/>
        <v>B</v>
      </c>
      <c r="I18" s="1">
        <f t="shared" si="2"/>
        <v>84</v>
      </c>
      <c r="J18" s="1">
        <f t="shared" si="3"/>
        <v>90</v>
      </c>
      <c r="K18" s="1">
        <f t="shared" si="4"/>
        <v>95</v>
      </c>
      <c r="L18" s="5" t="str">
        <f t="shared" si="5"/>
        <v>B</v>
      </c>
      <c r="M18" s="4" t="str">
        <f t="shared" si="6"/>
        <v>A</v>
      </c>
      <c r="N18" s="2" t="str">
        <f t="shared" si="7"/>
        <v>S</v>
      </c>
      <c r="O18" s="9" t="str">
        <f t="shared" si="8"/>
        <v>文臣</v>
      </c>
    </row>
    <row r="19" spans="1:15">
      <c r="A19" s="1">
        <v>18</v>
      </c>
      <c r="B19" s="1" t="s">
        <v>32</v>
      </c>
      <c r="C19" s="1">
        <v>92</v>
      </c>
      <c r="D19" s="1">
        <v>86</v>
      </c>
      <c r="E19" s="1">
        <v>99</v>
      </c>
      <c r="F19" s="1">
        <v>70</v>
      </c>
      <c r="G19" s="1">
        <v>347</v>
      </c>
      <c r="H19" s="1" t="str">
        <f t="shared" si="0"/>
        <v>B</v>
      </c>
      <c r="I19" s="1">
        <f t="shared" si="2"/>
        <v>89</v>
      </c>
      <c r="J19" s="1">
        <f t="shared" si="3"/>
        <v>84.5</v>
      </c>
      <c r="K19" s="1">
        <f t="shared" si="4"/>
        <v>99</v>
      </c>
      <c r="L19" s="4" t="str">
        <f t="shared" si="5"/>
        <v>A</v>
      </c>
      <c r="M19" s="5" t="str">
        <f t="shared" si="6"/>
        <v>B</v>
      </c>
      <c r="N19" s="2" t="str">
        <f t="shared" si="7"/>
        <v>S</v>
      </c>
      <c r="O19" s="9" t="str">
        <f t="shared" si="8"/>
        <v>武将</v>
      </c>
    </row>
    <row r="20" spans="1:15">
      <c r="A20" s="1">
        <v>19</v>
      </c>
      <c r="B20" s="1" t="s">
        <v>33</v>
      </c>
      <c r="C20" s="1">
        <v>87</v>
      </c>
      <c r="D20" s="1">
        <v>89</v>
      </c>
      <c r="E20" s="1">
        <v>91</v>
      </c>
      <c r="F20" s="1">
        <v>80</v>
      </c>
      <c r="G20" s="1">
        <v>347</v>
      </c>
      <c r="H20" s="1" t="str">
        <f t="shared" si="0"/>
        <v>B</v>
      </c>
      <c r="I20" s="1">
        <f t="shared" si="2"/>
        <v>88</v>
      </c>
      <c r="J20" s="1">
        <f t="shared" si="3"/>
        <v>85.5</v>
      </c>
      <c r="K20" s="1">
        <f t="shared" si="4"/>
        <v>91</v>
      </c>
      <c r="L20" s="4" t="str">
        <f t="shared" si="5"/>
        <v>A</v>
      </c>
      <c r="M20" s="5" t="str">
        <f t="shared" si="6"/>
        <v>B</v>
      </c>
      <c r="N20" s="4" t="str">
        <f t="shared" si="7"/>
        <v>A</v>
      </c>
      <c r="O20" s="9" t="str">
        <f t="shared" si="8"/>
        <v>武将</v>
      </c>
    </row>
    <row r="21" spans="1:15">
      <c r="A21" s="1">
        <v>20</v>
      </c>
      <c r="B21" s="1" t="s">
        <v>34</v>
      </c>
      <c r="C21" s="1">
        <v>92</v>
      </c>
      <c r="D21" s="1">
        <v>91</v>
      </c>
      <c r="E21" s="1">
        <v>88</v>
      </c>
      <c r="F21" s="1">
        <v>75</v>
      </c>
      <c r="G21" s="1">
        <v>346</v>
      </c>
      <c r="H21" s="1" t="str">
        <f t="shared" si="0"/>
        <v>B</v>
      </c>
      <c r="I21" s="1">
        <f t="shared" si="2"/>
        <v>91.5</v>
      </c>
      <c r="J21" s="1">
        <f t="shared" si="3"/>
        <v>81.5</v>
      </c>
      <c r="K21" s="1">
        <f t="shared" si="4"/>
        <v>92</v>
      </c>
      <c r="L21" s="4" t="str">
        <f t="shared" si="5"/>
        <v>A</v>
      </c>
      <c r="M21" s="6" t="str">
        <f t="shared" si="6"/>
        <v>C</v>
      </c>
      <c r="N21" s="4" t="str">
        <f t="shared" si="7"/>
        <v>A</v>
      </c>
      <c r="O21" s="9" t="str">
        <f t="shared" si="8"/>
        <v>武将</v>
      </c>
    </row>
    <row r="22" spans="1:15">
      <c r="A22" s="1">
        <v>21</v>
      </c>
      <c r="B22" s="1" t="s">
        <v>35</v>
      </c>
      <c r="C22" s="1">
        <v>89</v>
      </c>
      <c r="D22" s="1">
        <v>78</v>
      </c>
      <c r="E22" s="1">
        <v>94</v>
      </c>
      <c r="F22" s="1">
        <v>85</v>
      </c>
      <c r="G22" s="1">
        <v>346</v>
      </c>
      <c r="H22" s="1" t="str">
        <f t="shared" si="0"/>
        <v>B</v>
      </c>
      <c r="I22" s="1">
        <f t="shared" si="2"/>
        <v>83.5</v>
      </c>
      <c r="J22" s="1">
        <f t="shared" si="3"/>
        <v>89.5</v>
      </c>
      <c r="K22" s="1">
        <f t="shared" si="4"/>
        <v>94</v>
      </c>
      <c r="L22" s="5" t="str">
        <f t="shared" si="5"/>
        <v>B</v>
      </c>
      <c r="M22" s="4" t="str">
        <f t="shared" si="6"/>
        <v>A</v>
      </c>
      <c r="N22" s="2" t="str">
        <f t="shared" si="7"/>
        <v>S</v>
      </c>
      <c r="O22" s="9" t="str">
        <f t="shared" si="8"/>
        <v>文臣</v>
      </c>
    </row>
    <row r="23" spans="1:15">
      <c r="A23" s="1">
        <v>22</v>
      </c>
      <c r="B23" s="1" t="s">
        <v>36</v>
      </c>
      <c r="C23" s="1">
        <v>88</v>
      </c>
      <c r="D23" s="1">
        <v>82</v>
      </c>
      <c r="E23" s="1">
        <v>93</v>
      </c>
      <c r="F23" s="1">
        <v>83</v>
      </c>
      <c r="G23" s="1">
        <v>346</v>
      </c>
      <c r="H23" s="1" t="str">
        <f t="shared" si="0"/>
        <v>B</v>
      </c>
      <c r="I23" s="1">
        <f t="shared" si="2"/>
        <v>85</v>
      </c>
      <c r="J23" s="1">
        <f t="shared" si="3"/>
        <v>88</v>
      </c>
      <c r="K23" s="1">
        <f t="shared" si="4"/>
        <v>93</v>
      </c>
      <c r="L23" s="5" t="str">
        <f t="shared" si="5"/>
        <v>B</v>
      </c>
      <c r="M23" s="4" t="str">
        <f t="shared" si="6"/>
        <v>A</v>
      </c>
      <c r="N23" s="4" t="str">
        <f t="shared" si="7"/>
        <v>A</v>
      </c>
      <c r="O23" s="9" t="str">
        <f t="shared" si="8"/>
        <v>文臣</v>
      </c>
    </row>
    <row r="24" spans="1:15">
      <c r="A24" s="1">
        <v>23</v>
      </c>
      <c r="B24" s="1" t="s">
        <v>37</v>
      </c>
      <c r="C24" s="1">
        <v>85</v>
      </c>
      <c r="D24" s="1">
        <v>63</v>
      </c>
      <c r="E24" s="1">
        <v>99</v>
      </c>
      <c r="F24" s="1">
        <v>98</v>
      </c>
      <c r="G24" s="1">
        <v>345</v>
      </c>
      <c r="H24" s="1" t="str">
        <f t="shared" si="0"/>
        <v>B</v>
      </c>
      <c r="I24" s="1">
        <f t="shared" si="2"/>
        <v>74</v>
      </c>
      <c r="J24" s="1">
        <f t="shared" si="3"/>
        <v>98.5</v>
      </c>
      <c r="K24" s="1">
        <f t="shared" si="4"/>
        <v>99</v>
      </c>
      <c r="L24" s="7" t="str">
        <f t="shared" si="5"/>
        <v>D</v>
      </c>
      <c r="M24" s="2" t="str">
        <f t="shared" si="6"/>
        <v>S</v>
      </c>
      <c r="N24" s="2" t="str">
        <f t="shared" si="7"/>
        <v>S</v>
      </c>
      <c r="O24" s="9" t="str">
        <f t="shared" si="8"/>
        <v>特才</v>
      </c>
    </row>
    <row r="25" spans="1:15">
      <c r="A25" s="1">
        <v>24</v>
      </c>
      <c r="B25" s="1" t="s">
        <v>38</v>
      </c>
      <c r="C25" s="1">
        <v>85</v>
      </c>
      <c r="D25" s="1">
        <v>74</v>
      </c>
      <c r="E25" s="1">
        <v>96</v>
      </c>
      <c r="F25" s="1">
        <v>89</v>
      </c>
      <c r="G25" s="1">
        <v>344</v>
      </c>
      <c r="H25" s="1" t="str">
        <f t="shared" si="0"/>
        <v>B</v>
      </c>
      <c r="I25" s="1">
        <f t="shared" si="2"/>
        <v>79.5</v>
      </c>
      <c r="J25" s="1">
        <f t="shared" si="3"/>
        <v>92.5</v>
      </c>
      <c r="K25" s="1">
        <f t="shared" si="4"/>
        <v>96</v>
      </c>
      <c r="L25" s="6" t="str">
        <f t="shared" si="5"/>
        <v>C</v>
      </c>
      <c r="M25" s="4" t="str">
        <f t="shared" si="6"/>
        <v>A</v>
      </c>
      <c r="N25" s="2" t="str">
        <f t="shared" si="7"/>
        <v>S</v>
      </c>
      <c r="O25" s="9" t="str">
        <f t="shared" si="8"/>
        <v>特才</v>
      </c>
    </row>
    <row r="26" spans="1:15">
      <c r="A26" s="1">
        <v>25</v>
      </c>
      <c r="B26" s="1" t="s">
        <v>39</v>
      </c>
      <c r="C26" s="1">
        <v>91</v>
      </c>
      <c r="D26" s="1">
        <v>93</v>
      </c>
      <c r="E26" s="1">
        <v>82</v>
      </c>
      <c r="F26" s="1">
        <v>76</v>
      </c>
      <c r="G26" s="1">
        <v>342</v>
      </c>
      <c r="H26" s="1" t="str">
        <f t="shared" si="0"/>
        <v>B</v>
      </c>
      <c r="I26" s="1">
        <f t="shared" si="2"/>
        <v>92</v>
      </c>
      <c r="J26" s="1">
        <f t="shared" si="3"/>
        <v>79</v>
      </c>
      <c r="K26" s="1">
        <f t="shared" si="4"/>
        <v>93</v>
      </c>
      <c r="L26" s="4" t="str">
        <f t="shared" si="5"/>
        <v>A</v>
      </c>
      <c r="M26" s="6" t="str">
        <f t="shared" si="6"/>
        <v>C</v>
      </c>
      <c r="N26" s="4" t="str">
        <f t="shared" si="7"/>
        <v>A</v>
      </c>
      <c r="O26" s="9" t="str">
        <f t="shared" si="8"/>
        <v>特才</v>
      </c>
    </row>
    <row r="27" spans="1:15">
      <c r="A27" s="1">
        <v>26</v>
      </c>
      <c r="B27" s="1" t="s">
        <v>40</v>
      </c>
      <c r="C27" s="1">
        <v>92</v>
      </c>
      <c r="D27" s="1">
        <v>90</v>
      </c>
      <c r="E27" s="1">
        <v>81</v>
      </c>
      <c r="F27" s="1">
        <v>77</v>
      </c>
      <c r="G27" s="1">
        <v>340</v>
      </c>
      <c r="H27" s="1" t="str">
        <f t="shared" si="0"/>
        <v>B</v>
      </c>
      <c r="I27" s="1">
        <f t="shared" si="2"/>
        <v>91</v>
      </c>
      <c r="J27" s="1">
        <f t="shared" si="3"/>
        <v>79</v>
      </c>
      <c r="K27" s="1">
        <f t="shared" si="4"/>
        <v>92</v>
      </c>
      <c r="L27" s="4" t="str">
        <f t="shared" si="5"/>
        <v>A</v>
      </c>
      <c r="M27" s="6" t="str">
        <f t="shared" si="6"/>
        <v>C</v>
      </c>
      <c r="N27" s="4" t="str">
        <f t="shared" si="7"/>
        <v>A</v>
      </c>
      <c r="O27" s="9" t="str">
        <f t="shared" si="8"/>
        <v>特才</v>
      </c>
    </row>
    <row r="28" spans="1:15">
      <c r="A28" s="1">
        <v>27</v>
      </c>
      <c r="B28" s="1" t="s">
        <v>41</v>
      </c>
      <c r="C28" s="1">
        <v>87</v>
      </c>
      <c r="D28" s="1">
        <v>77</v>
      </c>
      <c r="E28" s="1">
        <v>92</v>
      </c>
      <c r="F28" s="1">
        <v>83</v>
      </c>
      <c r="G28" s="1">
        <v>339</v>
      </c>
      <c r="H28" s="1" t="str">
        <f t="shared" si="0"/>
        <v>B</v>
      </c>
      <c r="I28" s="1">
        <f t="shared" si="2"/>
        <v>82</v>
      </c>
      <c r="J28" s="1">
        <f t="shared" si="3"/>
        <v>87.5</v>
      </c>
      <c r="K28" s="1">
        <f t="shared" si="4"/>
        <v>92</v>
      </c>
      <c r="L28" s="5" t="str">
        <f t="shared" si="5"/>
        <v>B</v>
      </c>
      <c r="M28" s="5" t="str">
        <f t="shared" si="6"/>
        <v>B</v>
      </c>
      <c r="N28" s="4" t="str">
        <f t="shared" si="7"/>
        <v>A</v>
      </c>
      <c r="O28" s="9" t="str">
        <f t="shared" si="8"/>
        <v>文臣</v>
      </c>
    </row>
    <row r="29" spans="1:15">
      <c r="A29" s="1">
        <v>28</v>
      </c>
      <c r="B29" s="1" t="s">
        <v>42</v>
      </c>
      <c r="C29" s="1">
        <v>82</v>
      </c>
      <c r="D29" s="1">
        <v>71</v>
      </c>
      <c r="E29" s="1">
        <v>92</v>
      </c>
      <c r="F29" s="1">
        <v>93</v>
      </c>
      <c r="G29" s="1">
        <v>338</v>
      </c>
      <c r="H29" s="1" t="str">
        <f t="shared" si="0"/>
        <v>B</v>
      </c>
      <c r="I29" s="1">
        <f t="shared" si="2"/>
        <v>76.5</v>
      </c>
      <c r="J29" s="1">
        <f t="shared" si="3"/>
        <v>92.5</v>
      </c>
      <c r="K29" s="1">
        <f t="shared" si="4"/>
        <v>93</v>
      </c>
      <c r="L29" s="6" t="str">
        <f t="shared" si="5"/>
        <v>C</v>
      </c>
      <c r="M29" s="4" t="str">
        <f t="shared" si="6"/>
        <v>A</v>
      </c>
      <c r="N29" s="4" t="str">
        <f t="shared" si="7"/>
        <v>A</v>
      </c>
      <c r="O29" s="9" t="str">
        <f t="shared" si="8"/>
        <v>特才</v>
      </c>
    </row>
    <row r="30" spans="1:15">
      <c r="A30" s="1">
        <v>29</v>
      </c>
      <c r="B30" s="1" t="s">
        <v>43</v>
      </c>
      <c r="C30" s="1">
        <v>94</v>
      </c>
      <c r="D30" s="1">
        <v>99</v>
      </c>
      <c r="E30" s="1">
        <v>75</v>
      </c>
      <c r="F30" s="1">
        <v>69</v>
      </c>
      <c r="G30" s="1">
        <v>337</v>
      </c>
      <c r="H30" s="1" t="str">
        <f t="shared" si="0"/>
        <v>B</v>
      </c>
      <c r="I30" s="1">
        <f t="shared" si="2"/>
        <v>96.5</v>
      </c>
      <c r="J30" s="1">
        <f t="shared" si="3"/>
        <v>72</v>
      </c>
      <c r="K30" s="1">
        <f t="shared" si="4"/>
        <v>99</v>
      </c>
      <c r="L30" s="2" t="str">
        <f t="shared" si="5"/>
        <v>S</v>
      </c>
      <c r="M30" s="7" t="str">
        <f t="shared" si="6"/>
        <v>D</v>
      </c>
      <c r="N30" s="2" t="str">
        <f t="shared" si="7"/>
        <v>S</v>
      </c>
      <c r="O30" s="9" t="str">
        <f t="shared" si="8"/>
        <v>特才</v>
      </c>
    </row>
    <row r="31" spans="1:15">
      <c r="A31" s="1">
        <v>30</v>
      </c>
      <c r="B31" s="1" t="s">
        <v>44</v>
      </c>
      <c r="C31" s="1">
        <v>90</v>
      </c>
      <c r="D31" s="1">
        <v>93</v>
      </c>
      <c r="E31" s="1">
        <v>86</v>
      </c>
      <c r="F31" s="1">
        <v>67</v>
      </c>
      <c r="G31" s="1">
        <v>336</v>
      </c>
      <c r="H31" s="1" t="str">
        <f t="shared" si="0"/>
        <v>B</v>
      </c>
      <c r="I31" s="1">
        <f t="shared" si="2"/>
        <v>91.5</v>
      </c>
      <c r="J31" s="1">
        <f t="shared" si="3"/>
        <v>76.5</v>
      </c>
      <c r="K31" s="1">
        <f t="shared" si="4"/>
        <v>93</v>
      </c>
      <c r="L31" s="4" t="str">
        <f t="shared" si="5"/>
        <v>A</v>
      </c>
      <c r="M31" s="6" t="str">
        <f t="shared" si="6"/>
        <v>C</v>
      </c>
      <c r="N31" s="4" t="str">
        <f t="shared" si="7"/>
        <v>A</v>
      </c>
      <c r="O31" s="9" t="str">
        <f t="shared" si="8"/>
        <v>特才</v>
      </c>
    </row>
    <row r="32" spans="1:15">
      <c r="A32" s="1">
        <v>31</v>
      </c>
      <c r="B32" s="1" t="s">
        <v>45</v>
      </c>
      <c r="C32" s="1">
        <v>88</v>
      </c>
      <c r="D32" s="1">
        <v>72</v>
      </c>
      <c r="E32" s="1">
        <v>96</v>
      </c>
      <c r="F32" s="1">
        <v>79</v>
      </c>
      <c r="G32" s="1">
        <v>335</v>
      </c>
      <c r="H32" s="1" t="str">
        <f t="shared" si="0"/>
        <v>B</v>
      </c>
      <c r="I32" s="1">
        <f t="shared" si="2"/>
        <v>80</v>
      </c>
      <c r="J32" s="1">
        <f t="shared" si="3"/>
        <v>87.5</v>
      </c>
      <c r="K32" s="1">
        <f t="shared" si="4"/>
        <v>96</v>
      </c>
      <c r="L32" s="6" t="str">
        <f t="shared" si="5"/>
        <v>C</v>
      </c>
      <c r="M32" s="5" t="str">
        <f t="shared" si="6"/>
        <v>B</v>
      </c>
      <c r="N32" s="2" t="str">
        <f t="shared" si="7"/>
        <v>S</v>
      </c>
      <c r="O32" s="9" t="str">
        <f t="shared" si="8"/>
        <v>文臣</v>
      </c>
    </row>
    <row r="33" spans="1:15">
      <c r="A33" s="1">
        <v>32</v>
      </c>
      <c r="B33" s="1" t="s">
        <v>46</v>
      </c>
      <c r="C33" s="1">
        <v>91</v>
      </c>
      <c r="D33" s="1">
        <v>86</v>
      </c>
      <c r="E33" s="1">
        <v>89</v>
      </c>
      <c r="F33" s="1">
        <v>69</v>
      </c>
      <c r="G33" s="1">
        <v>335</v>
      </c>
      <c r="H33" s="1" t="str">
        <f t="shared" si="0"/>
        <v>B</v>
      </c>
      <c r="I33" s="1">
        <f t="shared" si="2"/>
        <v>88.5</v>
      </c>
      <c r="J33" s="1">
        <f t="shared" si="3"/>
        <v>79</v>
      </c>
      <c r="K33" s="1">
        <f t="shared" si="4"/>
        <v>91</v>
      </c>
      <c r="L33" s="4" t="str">
        <f t="shared" si="5"/>
        <v>A</v>
      </c>
      <c r="M33" s="6" t="str">
        <f t="shared" si="6"/>
        <v>C</v>
      </c>
      <c r="N33" s="4" t="str">
        <f t="shared" si="7"/>
        <v>A</v>
      </c>
      <c r="O33" s="9" t="str">
        <f t="shared" si="8"/>
        <v>特才</v>
      </c>
    </row>
    <row r="34" spans="1:15">
      <c r="A34" s="1">
        <v>33</v>
      </c>
      <c r="B34" s="1" t="s">
        <v>47</v>
      </c>
      <c r="C34" s="1">
        <v>85</v>
      </c>
      <c r="D34" s="1">
        <v>72</v>
      </c>
      <c r="E34" s="1">
        <v>88</v>
      </c>
      <c r="F34" s="1">
        <v>90</v>
      </c>
      <c r="G34" s="1">
        <v>335</v>
      </c>
      <c r="H34" s="1" t="str">
        <f t="shared" ref="H34:H65" si="9">IF(G34&gt;380,"S+",IF(G34&gt;370,"S",IF(G34&gt;350,"A",IF(G34&gt;325,"B",IF(G34&gt;300,"C","D")))))</f>
        <v>B</v>
      </c>
      <c r="I34" s="1">
        <f t="shared" si="2"/>
        <v>78.5</v>
      </c>
      <c r="J34" s="1">
        <f t="shared" si="3"/>
        <v>89</v>
      </c>
      <c r="K34" s="1">
        <f t="shared" si="4"/>
        <v>90</v>
      </c>
      <c r="L34" s="6" t="str">
        <f t="shared" si="5"/>
        <v>C</v>
      </c>
      <c r="M34" s="4" t="str">
        <f t="shared" si="6"/>
        <v>A</v>
      </c>
      <c r="N34" s="4" t="str">
        <f t="shared" si="7"/>
        <v>A</v>
      </c>
      <c r="O34" s="9" t="str">
        <f t="shared" si="8"/>
        <v>特才</v>
      </c>
    </row>
    <row r="35" spans="1:15">
      <c r="A35" s="1">
        <v>34</v>
      </c>
      <c r="B35" s="1" t="s">
        <v>48</v>
      </c>
      <c r="C35" s="1">
        <v>83</v>
      </c>
      <c r="D35" s="1">
        <v>73</v>
      </c>
      <c r="E35" s="1">
        <v>96</v>
      </c>
      <c r="F35" s="1">
        <v>82</v>
      </c>
      <c r="G35" s="1">
        <v>334</v>
      </c>
      <c r="H35" s="1" t="str">
        <f t="shared" si="9"/>
        <v>B</v>
      </c>
      <c r="I35" s="1">
        <f t="shared" si="2"/>
        <v>78</v>
      </c>
      <c r="J35" s="1">
        <f t="shared" si="3"/>
        <v>89</v>
      </c>
      <c r="K35" s="1">
        <f t="shared" si="4"/>
        <v>96</v>
      </c>
      <c r="L35" s="6" t="str">
        <f t="shared" si="5"/>
        <v>C</v>
      </c>
      <c r="M35" s="4" t="str">
        <f t="shared" si="6"/>
        <v>A</v>
      </c>
      <c r="N35" s="2" t="str">
        <f t="shared" si="7"/>
        <v>S</v>
      </c>
      <c r="O35" s="9" t="str">
        <f t="shared" si="8"/>
        <v>特才</v>
      </c>
    </row>
    <row r="36" spans="1:15">
      <c r="A36" s="1">
        <v>35</v>
      </c>
      <c r="B36" s="1" t="s">
        <v>49</v>
      </c>
      <c r="C36" s="1">
        <v>85</v>
      </c>
      <c r="D36" s="1">
        <v>65</v>
      </c>
      <c r="E36" s="1">
        <v>97</v>
      </c>
      <c r="F36" s="1">
        <v>86</v>
      </c>
      <c r="G36" s="1">
        <v>333</v>
      </c>
      <c r="H36" s="1" t="str">
        <f t="shared" si="9"/>
        <v>B</v>
      </c>
      <c r="I36" s="1">
        <f t="shared" si="2"/>
        <v>75</v>
      </c>
      <c r="J36" s="1">
        <f t="shared" si="3"/>
        <v>91.5</v>
      </c>
      <c r="K36" s="1">
        <f t="shared" si="4"/>
        <v>97</v>
      </c>
      <c r="L36" s="7" t="str">
        <f t="shared" si="5"/>
        <v>D</v>
      </c>
      <c r="M36" s="4" t="str">
        <f t="shared" si="6"/>
        <v>A</v>
      </c>
      <c r="N36" s="2" t="str">
        <f t="shared" si="7"/>
        <v>S</v>
      </c>
      <c r="O36" s="9" t="str">
        <f t="shared" si="8"/>
        <v>特才</v>
      </c>
    </row>
    <row r="37" spans="1:15">
      <c r="A37" s="1">
        <v>36</v>
      </c>
      <c r="B37" s="1" t="s">
        <v>50</v>
      </c>
      <c r="C37" s="1">
        <v>84</v>
      </c>
      <c r="D37" s="1">
        <v>75</v>
      </c>
      <c r="E37" s="1">
        <v>90</v>
      </c>
      <c r="F37" s="1">
        <v>83</v>
      </c>
      <c r="G37" s="1">
        <v>332</v>
      </c>
      <c r="H37" s="1" t="str">
        <f t="shared" si="9"/>
        <v>B</v>
      </c>
      <c r="I37" s="1">
        <f t="shared" si="2"/>
        <v>79.5</v>
      </c>
      <c r="J37" s="1">
        <f t="shared" si="3"/>
        <v>86.5</v>
      </c>
      <c r="K37" s="1">
        <f t="shared" si="4"/>
        <v>90</v>
      </c>
      <c r="L37" s="6" t="str">
        <f t="shared" si="5"/>
        <v>C</v>
      </c>
      <c r="M37" s="5" t="str">
        <f t="shared" si="6"/>
        <v>B</v>
      </c>
      <c r="N37" s="4" t="str">
        <f t="shared" si="7"/>
        <v>A</v>
      </c>
      <c r="O37" s="9" t="str">
        <f t="shared" si="8"/>
        <v>特才</v>
      </c>
    </row>
    <row r="38" spans="1:15">
      <c r="A38" s="1">
        <v>37</v>
      </c>
      <c r="B38" s="1" t="s">
        <v>51</v>
      </c>
      <c r="C38" s="1">
        <v>86</v>
      </c>
      <c r="D38" s="1">
        <v>80</v>
      </c>
      <c r="E38" s="1">
        <v>89</v>
      </c>
      <c r="F38" s="1">
        <v>76</v>
      </c>
      <c r="G38" s="1">
        <v>331</v>
      </c>
      <c r="H38" s="1" t="str">
        <f t="shared" si="9"/>
        <v>B</v>
      </c>
      <c r="I38" s="1">
        <f t="shared" si="2"/>
        <v>83</v>
      </c>
      <c r="J38" s="1">
        <f t="shared" si="3"/>
        <v>82.5</v>
      </c>
      <c r="K38" s="1">
        <f t="shared" si="4"/>
        <v>89</v>
      </c>
      <c r="L38" s="5" t="str">
        <f t="shared" si="5"/>
        <v>B</v>
      </c>
      <c r="M38" s="5" t="str">
        <f t="shared" si="6"/>
        <v>B</v>
      </c>
      <c r="N38" s="4" t="str">
        <f t="shared" si="7"/>
        <v>A</v>
      </c>
      <c r="O38" s="9" t="str">
        <f t="shared" si="8"/>
        <v>武将</v>
      </c>
    </row>
    <row r="39" spans="1:15">
      <c r="A39" s="1">
        <v>38</v>
      </c>
      <c r="B39" s="1" t="s">
        <v>52</v>
      </c>
      <c r="C39" s="1">
        <v>88</v>
      </c>
      <c r="D39" s="1">
        <v>81</v>
      </c>
      <c r="E39" s="1">
        <v>86</v>
      </c>
      <c r="F39" s="1">
        <v>76</v>
      </c>
      <c r="G39" s="1">
        <v>331</v>
      </c>
      <c r="H39" s="1" t="str">
        <f t="shared" si="9"/>
        <v>B</v>
      </c>
      <c r="I39" s="1">
        <f t="shared" si="2"/>
        <v>84.5</v>
      </c>
      <c r="J39" s="1">
        <f t="shared" si="3"/>
        <v>81</v>
      </c>
      <c r="K39" s="1">
        <f t="shared" si="4"/>
        <v>88</v>
      </c>
      <c r="L39" s="5" t="str">
        <f t="shared" si="5"/>
        <v>B</v>
      </c>
      <c r="M39" s="6" t="str">
        <f t="shared" si="6"/>
        <v>C</v>
      </c>
      <c r="N39" s="4" t="str">
        <f t="shared" si="7"/>
        <v>A</v>
      </c>
      <c r="O39" s="9" t="str">
        <f t="shared" si="8"/>
        <v>武将</v>
      </c>
    </row>
    <row r="40" spans="1:15">
      <c r="A40" s="1">
        <v>39</v>
      </c>
      <c r="B40" s="1" t="s">
        <v>53</v>
      </c>
      <c r="C40" s="1">
        <v>89</v>
      </c>
      <c r="D40" s="1">
        <v>84</v>
      </c>
      <c r="E40" s="1">
        <v>79</v>
      </c>
      <c r="F40" s="1">
        <v>78</v>
      </c>
      <c r="G40" s="1">
        <v>330</v>
      </c>
      <c r="H40" s="1" t="str">
        <f t="shared" si="9"/>
        <v>B</v>
      </c>
      <c r="I40" s="1">
        <f t="shared" si="2"/>
        <v>86.5</v>
      </c>
      <c r="J40" s="1">
        <f t="shared" si="3"/>
        <v>78.5</v>
      </c>
      <c r="K40" s="1">
        <f t="shared" si="4"/>
        <v>89</v>
      </c>
      <c r="L40" s="5" t="str">
        <f t="shared" si="5"/>
        <v>B</v>
      </c>
      <c r="M40" s="6" t="str">
        <f t="shared" si="6"/>
        <v>C</v>
      </c>
      <c r="N40" s="4" t="str">
        <f t="shared" si="7"/>
        <v>A</v>
      </c>
      <c r="O40" s="9" t="str">
        <f t="shared" si="8"/>
        <v>武将</v>
      </c>
    </row>
    <row r="41" spans="1:15">
      <c r="A41" s="1">
        <v>40</v>
      </c>
      <c r="B41" s="1" t="s">
        <v>54</v>
      </c>
      <c r="C41" s="1">
        <v>93</v>
      </c>
      <c r="D41" s="1">
        <v>92</v>
      </c>
      <c r="E41" s="1">
        <v>72</v>
      </c>
      <c r="F41" s="1">
        <v>72</v>
      </c>
      <c r="G41" s="1">
        <v>329</v>
      </c>
      <c r="H41" s="1" t="str">
        <f t="shared" si="9"/>
        <v>B</v>
      </c>
      <c r="I41" s="1">
        <f t="shared" si="2"/>
        <v>92.5</v>
      </c>
      <c r="J41" s="1">
        <f t="shared" si="3"/>
        <v>72</v>
      </c>
      <c r="K41" s="1">
        <f t="shared" si="4"/>
        <v>93</v>
      </c>
      <c r="L41" s="4" t="str">
        <f t="shared" si="5"/>
        <v>A</v>
      </c>
      <c r="M41" s="7" t="str">
        <f t="shared" si="6"/>
        <v>D</v>
      </c>
      <c r="N41" s="4" t="str">
        <f t="shared" si="7"/>
        <v>A</v>
      </c>
      <c r="O41" s="9" t="str">
        <f t="shared" si="8"/>
        <v>特才</v>
      </c>
    </row>
    <row r="42" spans="1:15">
      <c r="A42" s="1">
        <v>41</v>
      </c>
      <c r="B42" s="1" t="s">
        <v>55</v>
      </c>
      <c r="C42" s="1">
        <v>87</v>
      </c>
      <c r="D42" s="1">
        <v>98</v>
      </c>
      <c r="E42" s="1">
        <v>82</v>
      </c>
      <c r="F42" s="1">
        <v>62</v>
      </c>
      <c r="G42" s="1">
        <v>329</v>
      </c>
      <c r="H42" s="1" t="str">
        <f t="shared" si="9"/>
        <v>B</v>
      </c>
      <c r="I42" s="1">
        <f t="shared" si="2"/>
        <v>92.5</v>
      </c>
      <c r="J42" s="1">
        <f t="shared" si="3"/>
        <v>72</v>
      </c>
      <c r="K42" s="1">
        <f t="shared" si="4"/>
        <v>98</v>
      </c>
      <c r="L42" s="4" t="str">
        <f t="shared" si="5"/>
        <v>A</v>
      </c>
      <c r="M42" s="7" t="str">
        <f t="shared" si="6"/>
        <v>D</v>
      </c>
      <c r="N42" s="2" t="str">
        <f t="shared" si="7"/>
        <v>S</v>
      </c>
      <c r="O42" s="9" t="str">
        <f t="shared" si="8"/>
        <v>特才</v>
      </c>
    </row>
    <row r="43" spans="1:15">
      <c r="A43" s="1">
        <v>42</v>
      </c>
      <c r="B43" s="1" t="s">
        <v>56</v>
      </c>
      <c r="C43" s="1">
        <v>91</v>
      </c>
      <c r="D43" s="1">
        <v>88</v>
      </c>
      <c r="E43" s="1">
        <v>78</v>
      </c>
      <c r="F43" s="1">
        <v>71</v>
      </c>
      <c r="G43" s="1">
        <v>328</v>
      </c>
      <c r="H43" s="1" t="str">
        <f t="shared" si="9"/>
        <v>B</v>
      </c>
      <c r="I43" s="1">
        <f t="shared" si="2"/>
        <v>89.5</v>
      </c>
      <c r="J43" s="1">
        <f t="shared" si="3"/>
        <v>74.5</v>
      </c>
      <c r="K43" s="1">
        <f t="shared" si="4"/>
        <v>91</v>
      </c>
      <c r="L43" s="4" t="str">
        <f t="shared" si="5"/>
        <v>A</v>
      </c>
      <c r="M43" s="7" t="str">
        <f t="shared" si="6"/>
        <v>D</v>
      </c>
      <c r="N43" s="4" t="str">
        <f t="shared" si="7"/>
        <v>A</v>
      </c>
      <c r="O43" s="9" t="str">
        <f t="shared" si="8"/>
        <v>特才</v>
      </c>
    </row>
    <row r="44" spans="1:15">
      <c r="A44" s="1">
        <v>43</v>
      </c>
      <c r="B44" s="1" t="s">
        <v>57</v>
      </c>
      <c r="C44" s="1">
        <v>86</v>
      </c>
      <c r="D44" s="1">
        <v>83</v>
      </c>
      <c r="E44" s="1">
        <v>82</v>
      </c>
      <c r="F44" s="1">
        <v>77</v>
      </c>
      <c r="G44" s="1">
        <v>328</v>
      </c>
      <c r="H44" s="1" t="str">
        <f t="shared" si="9"/>
        <v>B</v>
      </c>
      <c r="I44" s="1">
        <f t="shared" si="2"/>
        <v>84.5</v>
      </c>
      <c r="J44" s="1">
        <f t="shared" si="3"/>
        <v>79.5</v>
      </c>
      <c r="K44" s="1">
        <f t="shared" si="4"/>
        <v>86</v>
      </c>
      <c r="L44" s="5" t="str">
        <f t="shared" si="5"/>
        <v>B</v>
      </c>
      <c r="M44" s="6" t="str">
        <f t="shared" si="6"/>
        <v>C</v>
      </c>
      <c r="N44" s="5" t="str">
        <f t="shared" si="7"/>
        <v>B</v>
      </c>
      <c r="O44" s="9" t="str">
        <f t="shared" si="8"/>
        <v>武将</v>
      </c>
    </row>
    <row r="45" spans="1:15">
      <c r="A45" s="1">
        <v>44</v>
      </c>
      <c r="B45" s="1" t="s">
        <v>58</v>
      </c>
      <c r="C45" s="1">
        <v>89</v>
      </c>
      <c r="D45" s="1">
        <v>84</v>
      </c>
      <c r="E45" s="1">
        <v>81</v>
      </c>
      <c r="F45" s="1">
        <v>74</v>
      </c>
      <c r="G45" s="1">
        <v>328</v>
      </c>
      <c r="H45" s="1" t="str">
        <f t="shared" si="9"/>
        <v>B</v>
      </c>
      <c r="I45" s="1">
        <f t="shared" si="2"/>
        <v>86.5</v>
      </c>
      <c r="J45" s="1">
        <f t="shared" si="3"/>
        <v>77.5</v>
      </c>
      <c r="K45" s="1">
        <f t="shared" si="4"/>
        <v>89</v>
      </c>
      <c r="L45" s="5" t="str">
        <f t="shared" si="5"/>
        <v>B</v>
      </c>
      <c r="M45" s="6" t="str">
        <f t="shared" si="6"/>
        <v>C</v>
      </c>
      <c r="N45" s="4" t="str">
        <f t="shared" si="7"/>
        <v>A</v>
      </c>
      <c r="O45" s="9" t="str">
        <f t="shared" si="8"/>
        <v>武将</v>
      </c>
    </row>
    <row r="46" spans="1:15">
      <c r="A46" s="1">
        <v>45</v>
      </c>
      <c r="B46" s="1" t="s">
        <v>59</v>
      </c>
      <c r="C46" s="1">
        <v>80</v>
      </c>
      <c r="D46" s="1">
        <v>76</v>
      </c>
      <c r="E46" s="1">
        <v>85</v>
      </c>
      <c r="F46" s="1">
        <v>87</v>
      </c>
      <c r="G46" s="1">
        <v>328</v>
      </c>
      <c r="H46" s="1" t="str">
        <f t="shared" si="9"/>
        <v>B</v>
      </c>
      <c r="I46" s="1">
        <f t="shared" si="2"/>
        <v>78</v>
      </c>
      <c r="J46" s="1">
        <f t="shared" si="3"/>
        <v>86</v>
      </c>
      <c r="K46" s="1">
        <f t="shared" si="4"/>
        <v>87</v>
      </c>
      <c r="L46" s="6" t="str">
        <f t="shared" si="5"/>
        <v>C</v>
      </c>
      <c r="M46" s="5" t="str">
        <f t="shared" si="6"/>
        <v>B</v>
      </c>
      <c r="N46" s="5" t="str">
        <f t="shared" si="7"/>
        <v>B</v>
      </c>
      <c r="O46" s="9" t="str">
        <f t="shared" si="8"/>
        <v>文臣</v>
      </c>
    </row>
    <row r="47" spans="1:15">
      <c r="A47" s="1">
        <v>46</v>
      </c>
      <c r="B47" s="1" t="s">
        <v>60</v>
      </c>
      <c r="C47" s="1">
        <v>85</v>
      </c>
      <c r="D47" s="1">
        <v>82</v>
      </c>
      <c r="E47" s="1">
        <v>80</v>
      </c>
      <c r="F47" s="1">
        <v>81</v>
      </c>
      <c r="G47" s="1">
        <v>328</v>
      </c>
      <c r="H47" s="1" t="str">
        <f t="shared" si="9"/>
        <v>B</v>
      </c>
      <c r="I47" s="1">
        <f t="shared" si="2"/>
        <v>83.5</v>
      </c>
      <c r="J47" s="1">
        <f t="shared" si="3"/>
        <v>80.5</v>
      </c>
      <c r="K47" s="1">
        <f t="shared" si="4"/>
        <v>85</v>
      </c>
      <c r="L47" s="5" t="str">
        <f t="shared" si="5"/>
        <v>B</v>
      </c>
      <c r="M47" s="6" t="str">
        <f t="shared" si="6"/>
        <v>C</v>
      </c>
      <c r="N47" s="5" t="str">
        <f t="shared" si="7"/>
        <v>B</v>
      </c>
      <c r="O47" s="9" t="str">
        <f t="shared" si="8"/>
        <v>武将</v>
      </c>
    </row>
    <row r="48" spans="1:15">
      <c r="A48" s="1">
        <v>47</v>
      </c>
      <c r="B48" s="1" t="s">
        <v>61</v>
      </c>
      <c r="C48" s="1">
        <v>84</v>
      </c>
      <c r="D48" s="1">
        <v>82</v>
      </c>
      <c r="E48" s="1">
        <v>83</v>
      </c>
      <c r="F48" s="1">
        <v>79</v>
      </c>
      <c r="G48" s="1">
        <v>328</v>
      </c>
      <c r="H48" s="1" t="str">
        <f t="shared" si="9"/>
        <v>B</v>
      </c>
      <c r="I48" s="1">
        <f t="shared" si="2"/>
        <v>83</v>
      </c>
      <c r="J48" s="1">
        <f t="shared" si="3"/>
        <v>81</v>
      </c>
      <c r="K48" s="1">
        <f t="shared" si="4"/>
        <v>84</v>
      </c>
      <c r="L48" s="5" t="str">
        <f t="shared" si="5"/>
        <v>B</v>
      </c>
      <c r="M48" s="6" t="str">
        <f t="shared" si="6"/>
        <v>C</v>
      </c>
      <c r="N48" s="5" t="str">
        <f t="shared" si="7"/>
        <v>B</v>
      </c>
      <c r="O48" s="9" t="str">
        <f t="shared" si="8"/>
        <v>武将</v>
      </c>
    </row>
    <row r="49" spans="1:15">
      <c r="A49" s="1">
        <v>48</v>
      </c>
      <c r="B49" s="1" t="s">
        <v>62</v>
      </c>
      <c r="C49" s="1">
        <v>90</v>
      </c>
      <c r="D49" s="1">
        <v>95</v>
      </c>
      <c r="E49" s="1">
        <v>76</v>
      </c>
      <c r="F49" s="1">
        <v>66</v>
      </c>
      <c r="G49" s="1">
        <v>327</v>
      </c>
      <c r="H49" s="1" t="str">
        <f t="shared" si="9"/>
        <v>B</v>
      </c>
      <c r="I49" s="1">
        <f t="shared" si="2"/>
        <v>92.5</v>
      </c>
      <c r="J49" s="1">
        <f t="shared" si="3"/>
        <v>71</v>
      </c>
      <c r="K49" s="1">
        <f t="shared" si="4"/>
        <v>95</v>
      </c>
      <c r="L49" s="4" t="str">
        <f t="shared" si="5"/>
        <v>A</v>
      </c>
      <c r="M49" s="7" t="str">
        <f t="shared" si="6"/>
        <v>D</v>
      </c>
      <c r="N49" s="2" t="str">
        <f t="shared" si="7"/>
        <v>S</v>
      </c>
      <c r="O49" s="9" t="str">
        <f t="shared" si="8"/>
        <v>特才</v>
      </c>
    </row>
    <row r="50" spans="1:15">
      <c r="A50" s="1">
        <v>49</v>
      </c>
      <c r="B50" s="1" t="s">
        <v>63</v>
      </c>
      <c r="C50" s="1">
        <v>89</v>
      </c>
      <c r="D50" s="1">
        <v>89</v>
      </c>
      <c r="E50" s="1">
        <v>77</v>
      </c>
      <c r="F50" s="1">
        <v>72</v>
      </c>
      <c r="G50" s="1">
        <v>327</v>
      </c>
      <c r="H50" s="1" t="str">
        <f t="shared" si="9"/>
        <v>B</v>
      </c>
      <c r="I50" s="1">
        <f t="shared" si="2"/>
        <v>89</v>
      </c>
      <c r="J50" s="1">
        <f t="shared" si="3"/>
        <v>74.5</v>
      </c>
      <c r="K50" s="1">
        <f t="shared" si="4"/>
        <v>89</v>
      </c>
      <c r="L50" s="4" t="str">
        <f t="shared" si="5"/>
        <v>A</v>
      </c>
      <c r="M50" s="7" t="str">
        <f t="shared" si="6"/>
        <v>D</v>
      </c>
      <c r="N50" s="4" t="str">
        <f t="shared" si="7"/>
        <v>A</v>
      </c>
      <c r="O50" s="9" t="str">
        <f t="shared" si="8"/>
        <v>武将</v>
      </c>
    </row>
    <row r="51" spans="1:15">
      <c r="A51" s="1">
        <v>50</v>
      </c>
      <c r="B51" s="1" t="s">
        <v>64</v>
      </c>
      <c r="C51" s="1">
        <v>86</v>
      </c>
      <c r="D51" s="1">
        <v>78</v>
      </c>
      <c r="E51" s="1">
        <v>87</v>
      </c>
      <c r="F51" s="1">
        <v>76</v>
      </c>
      <c r="G51" s="1">
        <v>327</v>
      </c>
      <c r="H51" s="1" t="str">
        <f t="shared" si="9"/>
        <v>B</v>
      </c>
      <c r="I51" s="1">
        <f t="shared" si="2"/>
        <v>82</v>
      </c>
      <c r="J51" s="1">
        <f t="shared" si="3"/>
        <v>81.5</v>
      </c>
      <c r="K51" s="1">
        <f t="shared" si="4"/>
        <v>87</v>
      </c>
      <c r="L51" s="5" t="str">
        <f t="shared" si="5"/>
        <v>B</v>
      </c>
      <c r="M51" s="6" t="str">
        <f t="shared" si="6"/>
        <v>C</v>
      </c>
      <c r="N51" s="5" t="str">
        <f t="shared" si="7"/>
        <v>B</v>
      </c>
      <c r="O51" s="9" t="str">
        <f t="shared" si="8"/>
        <v>武将</v>
      </c>
    </row>
    <row r="52" spans="1:15">
      <c r="A52" s="1">
        <v>51</v>
      </c>
      <c r="B52" s="1" t="s">
        <v>65</v>
      </c>
      <c r="C52" s="1">
        <v>87</v>
      </c>
      <c r="D52" s="1">
        <v>83</v>
      </c>
      <c r="E52" s="1">
        <v>82</v>
      </c>
      <c r="F52" s="1">
        <v>75</v>
      </c>
      <c r="G52" s="1">
        <v>327</v>
      </c>
      <c r="H52" s="1" t="str">
        <f t="shared" si="9"/>
        <v>B</v>
      </c>
      <c r="I52" s="1">
        <f t="shared" si="2"/>
        <v>85</v>
      </c>
      <c r="J52" s="1">
        <f t="shared" si="3"/>
        <v>78.5</v>
      </c>
      <c r="K52" s="1">
        <f t="shared" si="4"/>
        <v>87</v>
      </c>
      <c r="L52" s="5" t="str">
        <f t="shared" si="5"/>
        <v>B</v>
      </c>
      <c r="M52" s="6" t="str">
        <f t="shared" si="6"/>
        <v>C</v>
      </c>
      <c r="N52" s="5" t="str">
        <f t="shared" si="7"/>
        <v>B</v>
      </c>
      <c r="O52" s="9" t="str">
        <f t="shared" si="8"/>
        <v>武将</v>
      </c>
    </row>
    <row r="53" spans="1:15">
      <c r="A53" s="1">
        <v>52</v>
      </c>
      <c r="B53" s="1" t="s">
        <v>66</v>
      </c>
      <c r="C53" s="1">
        <v>90</v>
      </c>
      <c r="D53" s="1">
        <v>96</v>
      </c>
      <c r="E53" s="1">
        <v>70</v>
      </c>
      <c r="F53" s="1">
        <v>70</v>
      </c>
      <c r="G53" s="1">
        <v>326</v>
      </c>
      <c r="H53" s="1" t="str">
        <f t="shared" si="9"/>
        <v>B</v>
      </c>
      <c r="I53" s="1">
        <f t="shared" si="2"/>
        <v>93</v>
      </c>
      <c r="J53" s="1">
        <f t="shared" si="3"/>
        <v>70</v>
      </c>
      <c r="K53" s="1">
        <f t="shared" si="4"/>
        <v>96</v>
      </c>
      <c r="L53" s="4" t="str">
        <f t="shared" si="5"/>
        <v>A</v>
      </c>
      <c r="M53" s="7" t="str">
        <f t="shared" si="6"/>
        <v>D</v>
      </c>
      <c r="N53" s="2" t="str">
        <f t="shared" si="7"/>
        <v>S</v>
      </c>
      <c r="O53" s="9" t="str">
        <f t="shared" si="8"/>
        <v>特才</v>
      </c>
    </row>
    <row r="54" spans="1:15">
      <c r="A54" s="1">
        <v>53</v>
      </c>
      <c r="B54" s="1" t="s">
        <v>67</v>
      </c>
      <c r="C54" s="1">
        <v>85</v>
      </c>
      <c r="D54" s="1">
        <v>88</v>
      </c>
      <c r="E54" s="1">
        <v>77</v>
      </c>
      <c r="F54" s="1">
        <v>76</v>
      </c>
      <c r="G54" s="1">
        <v>326</v>
      </c>
      <c r="H54" s="1" t="str">
        <f t="shared" si="9"/>
        <v>B</v>
      </c>
      <c r="I54" s="1">
        <f t="shared" si="2"/>
        <v>86.5</v>
      </c>
      <c r="J54" s="1">
        <f t="shared" si="3"/>
        <v>76.5</v>
      </c>
      <c r="K54" s="1">
        <f t="shared" si="4"/>
        <v>88</v>
      </c>
      <c r="L54" s="5" t="str">
        <f t="shared" si="5"/>
        <v>B</v>
      </c>
      <c r="M54" s="6" t="str">
        <f t="shared" si="6"/>
        <v>C</v>
      </c>
      <c r="N54" s="4" t="str">
        <f t="shared" si="7"/>
        <v>A</v>
      </c>
      <c r="O54" s="9" t="str">
        <f t="shared" si="8"/>
        <v>武将</v>
      </c>
    </row>
    <row r="55" spans="1:15">
      <c r="A55" s="1">
        <v>54</v>
      </c>
      <c r="B55" s="1" t="s">
        <v>68</v>
      </c>
      <c r="C55" s="1">
        <v>88</v>
      </c>
      <c r="D55" s="1">
        <v>90</v>
      </c>
      <c r="E55" s="1">
        <v>73</v>
      </c>
      <c r="F55" s="1">
        <v>75</v>
      </c>
      <c r="G55" s="1">
        <v>326</v>
      </c>
      <c r="H55" s="1" t="str">
        <f t="shared" si="9"/>
        <v>B</v>
      </c>
      <c r="I55" s="1">
        <f t="shared" si="2"/>
        <v>89</v>
      </c>
      <c r="J55" s="1">
        <f t="shared" si="3"/>
        <v>74</v>
      </c>
      <c r="K55" s="1">
        <f t="shared" si="4"/>
        <v>90</v>
      </c>
      <c r="L55" s="4" t="str">
        <f t="shared" si="5"/>
        <v>A</v>
      </c>
      <c r="M55" s="7" t="str">
        <f t="shared" si="6"/>
        <v>D</v>
      </c>
      <c r="N55" s="4" t="str">
        <f t="shared" si="7"/>
        <v>A</v>
      </c>
      <c r="O55" s="9" t="str">
        <f t="shared" si="8"/>
        <v>特才</v>
      </c>
    </row>
    <row r="56" spans="1:15">
      <c r="A56" s="1">
        <v>55</v>
      </c>
      <c r="B56" s="1" t="s">
        <v>69</v>
      </c>
      <c r="C56" s="1">
        <v>84</v>
      </c>
      <c r="D56" s="1">
        <v>76</v>
      </c>
      <c r="E56" s="1">
        <v>84</v>
      </c>
      <c r="F56" s="1">
        <v>82</v>
      </c>
      <c r="G56" s="1">
        <v>326</v>
      </c>
      <c r="H56" s="1" t="str">
        <f t="shared" si="9"/>
        <v>B</v>
      </c>
      <c r="I56" s="1">
        <f t="shared" si="2"/>
        <v>80</v>
      </c>
      <c r="J56" s="1">
        <f t="shared" si="3"/>
        <v>83</v>
      </c>
      <c r="K56" s="1">
        <f t="shared" si="4"/>
        <v>84</v>
      </c>
      <c r="L56" s="6" t="str">
        <f t="shared" si="5"/>
        <v>C</v>
      </c>
      <c r="M56" s="5" t="str">
        <f t="shared" si="6"/>
        <v>B</v>
      </c>
      <c r="N56" s="5" t="str">
        <f t="shared" si="7"/>
        <v>B</v>
      </c>
      <c r="O56" s="9" t="str">
        <f t="shared" si="8"/>
        <v>文臣</v>
      </c>
    </row>
    <row r="57" spans="1:15">
      <c r="A57" s="1">
        <v>56</v>
      </c>
      <c r="B57" s="1" t="s">
        <v>70</v>
      </c>
      <c r="C57" s="1">
        <v>86</v>
      </c>
      <c r="D57" s="1">
        <v>72</v>
      </c>
      <c r="E57" s="1">
        <v>85</v>
      </c>
      <c r="F57" s="1">
        <v>82</v>
      </c>
      <c r="G57" s="1">
        <v>325</v>
      </c>
      <c r="H57" s="1" t="str">
        <f t="shared" si="9"/>
        <v>C</v>
      </c>
      <c r="I57" s="1">
        <f t="shared" si="2"/>
        <v>79</v>
      </c>
      <c r="J57" s="1">
        <f t="shared" si="3"/>
        <v>83.5</v>
      </c>
      <c r="K57" s="1">
        <f t="shared" si="4"/>
        <v>86</v>
      </c>
      <c r="L57" s="6" t="str">
        <f t="shared" si="5"/>
        <v>C</v>
      </c>
      <c r="M57" s="5" t="str">
        <f t="shared" si="6"/>
        <v>B</v>
      </c>
      <c r="N57" s="5" t="str">
        <f t="shared" si="7"/>
        <v>B</v>
      </c>
      <c r="O57" s="9" t="str">
        <f t="shared" si="8"/>
        <v>文臣</v>
      </c>
    </row>
    <row r="58" spans="1:15">
      <c r="A58" s="1">
        <v>57</v>
      </c>
      <c r="B58" s="1" t="s">
        <v>71</v>
      </c>
      <c r="C58" s="1">
        <v>86</v>
      </c>
      <c r="D58" s="1">
        <v>81</v>
      </c>
      <c r="E58" s="1">
        <v>82</v>
      </c>
      <c r="F58" s="1">
        <v>76</v>
      </c>
      <c r="G58" s="1">
        <v>325</v>
      </c>
      <c r="H58" s="1" t="str">
        <f t="shared" si="9"/>
        <v>C</v>
      </c>
      <c r="I58" s="1">
        <f t="shared" si="2"/>
        <v>83.5</v>
      </c>
      <c r="J58" s="1">
        <f t="shared" si="3"/>
        <v>79</v>
      </c>
      <c r="K58" s="1">
        <f t="shared" si="4"/>
        <v>86</v>
      </c>
      <c r="L58" s="5" t="str">
        <f t="shared" si="5"/>
        <v>B</v>
      </c>
      <c r="M58" s="6" t="str">
        <f t="shared" si="6"/>
        <v>C</v>
      </c>
      <c r="N58" s="5" t="str">
        <f t="shared" si="7"/>
        <v>B</v>
      </c>
      <c r="O58" s="9" t="str">
        <f t="shared" si="8"/>
        <v>武将</v>
      </c>
    </row>
    <row r="59" spans="1:15">
      <c r="A59" s="1">
        <v>58</v>
      </c>
      <c r="B59" s="1" t="s">
        <v>72</v>
      </c>
      <c r="C59" s="1">
        <v>85</v>
      </c>
      <c r="D59" s="1">
        <v>75</v>
      </c>
      <c r="E59" s="1">
        <v>83</v>
      </c>
      <c r="F59" s="1">
        <v>82</v>
      </c>
      <c r="G59" s="1">
        <v>325</v>
      </c>
      <c r="H59" s="1" t="str">
        <f t="shared" si="9"/>
        <v>C</v>
      </c>
      <c r="I59" s="1">
        <f t="shared" si="2"/>
        <v>80</v>
      </c>
      <c r="J59" s="1">
        <f t="shared" si="3"/>
        <v>82.5</v>
      </c>
      <c r="K59" s="1">
        <f t="shared" si="4"/>
        <v>85</v>
      </c>
      <c r="L59" s="6" t="str">
        <f t="shared" si="5"/>
        <v>C</v>
      </c>
      <c r="M59" s="5" t="str">
        <f t="shared" si="6"/>
        <v>B</v>
      </c>
      <c r="N59" s="5" t="str">
        <f t="shared" si="7"/>
        <v>B</v>
      </c>
      <c r="O59" s="9" t="str">
        <f t="shared" si="8"/>
        <v>文臣</v>
      </c>
    </row>
    <row r="60" spans="1:15">
      <c r="A60" s="1">
        <v>59</v>
      </c>
      <c r="B60" s="1" t="s">
        <v>73</v>
      </c>
      <c r="C60" s="1">
        <v>82</v>
      </c>
      <c r="D60" s="1">
        <v>75</v>
      </c>
      <c r="E60" s="1">
        <v>83</v>
      </c>
      <c r="F60" s="1">
        <v>85</v>
      </c>
      <c r="G60" s="1">
        <v>325</v>
      </c>
      <c r="H60" s="1" t="str">
        <f t="shared" si="9"/>
        <v>C</v>
      </c>
      <c r="I60" s="1">
        <f t="shared" si="2"/>
        <v>78.5</v>
      </c>
      <c r="J60" s="1">
        <f t="shared" si="3"/>
        <v>84</v>
      </c>
      <c r="K60" s="1">
        <f t="shared" si="4"/>
        <v>85</v>
      </c>
      <c r="L60" s="6" t="str">
        <f t="shared" si="5"/>
        <v>C</v>
      </c>
      <c r="M60" s="5" t="str">
        <f t="shared" si="6"/>
        <v>B</v>
      </c>
      <c r="N60" s="5" t="str">
        <f t="shared" si="7"/>
        <v>B</v>
      </c>
      <c r="O60" s="9" t="str">
        <f t="shared" si="8"/>
        <v>文臣</v>
      </c>
    </row>
    <row r="61" spans="1:15">
      <c r="A61" s="1">
        <v>60</v>
      </c>
      <c r="B61" s="1" t="s">
        <v>74</v>
      </c>
      <c r="C61" s="1">
        <v>88</v>
      </c>
      <c r="D61" s="1">
        <v>79</v>
      </c>
      <c r="E61" s="1">
        <v>84</v>
      </c>
      <c r="F61" s="1">
        <v>73</v>
      </c>
      <c r="G61" s="1">
        <v>324</v>
      </c>
      <c r="H61" s="1" t="str">
        <f t="shared" si="9"/>
        <v>C</v>
      </c>
      <c r="I61" s="1">
        <f t="shared" si="2"/>
        <v>83.5</v>
      </c>
      <c r="J61" s="1">
        <f t="shared" si="3"/>
        <v>78.5</v>
      </c>
      <c r="K61" s="1">
        <f t="shared" si="4"/>
        <v>88</v>
      </c>
      <c r="L61" s="5" t="str">
        <f t="shared" si="5"/>
        <v>B</v>
      </c>
      <c r="M61" s="6" t="str">
        <f t="shared" si="6"/>
        <v>C</v>
      </c>
      <c r="N61" s="4" t="str">
        <f t="shared" si="7"/>
        <v>A</v>
      </c>
      <c r="O61" s="9" t="str">
        <f t="shared" si="8"/>
        <v>武将</v>
      </c>
    </row>
    <row r="62" spans="1:15">
      <c r="A62" s="1">
        <v>61</v>
      </c>
      <c r="B62" s="1" t="s">
        <v>75</v>
      </c>
      <c r="C62" s="1">
        <v>87</v>
      </c>
      <c r="D62" s="1">
        <v>85</v>
      </c>
      <c r="E62" s="1">
        <v>79</v>
      </c>
      <c r="F62" s="1">
        <v>72</v>
      </c>
      <c r="G62" s="1">
        <v>323</v>
      </c>
      <c r="H62" s="1" t="str">
        <f t="shared" si="9"/>
        <v>C</v>
      </c>
      <c r="I62" s="1">
        <f t="shared" si="2"/>
        <v>86</v>
      </c>
      <c r="J62" s="1">
        <f t="shared" si="3"/>
        <v>75.5</v>
      </c>
      <c r="K62" s="1">
        <f t="shared" si="4"/>
        <v>87</v>
      </c>
      <c r="L62" s="5" t="str">
        <f t="shared" si="5"/>
        <v>B</v>
      </c>
      <c r="M62" s="7" t="str">
        <f t="shared" si="6"/>
        <v>D</v>
      </c>
      <c r="N62" s="5" t="str">
        <f t="shared" si="7"/>
        <v>B</v>
      </c>
      <c r="O62" s="9" t="str">
        <f t="shared" si="8"/>
        <v>武将</v>
      </c>
    </row>
    <row r="63" spans="1:15">
      <c r="A63" s="1">
        <v>62</v>
      </c>
      <c r="B63" s="1" t="s">
        <v>76</v>
      </c>
      <c r="C63" s="1">
        <v>83</v>
      </c>
      <c r="D63" s="1">
        <v>78</v>
      </c>
      <c r="E63" s="1">
        <v>81</v>
      </c>
      <c r="F63" s="1">
        <v>81</v>
      </c>
      <c r="G63" s="1">
        <v>323</v>
      </c>
      <c r="H63" s="1" t="str">
        <f t="shared" si="9"/>
        <v>C</v>
      </c>
      <c r="I63" s="1">
        <f t="shared" si="2"/>
        <v>80.5</v>
      </c>
      <c r="J63" s="1">
        <f t="shared" si="3"/>
        <v>81</v>
      </c>
      <c r="K63" s="1">
        <f t="shared" si="4"/>
        <v>83</v>
      </c>
      <c r="L63" s="6" t="str">
        <f t="shared" si="5"/>
        <v>C</v>
      </c>
      <c r="M63" s="6" t="str">
        <f t="shared" si="6"/>
        <v>C</v>
      </c>
      <c r="N63" s="5" t="str">
        <f t="shared" si="7"/>
        <v>B</v>
      </c>
      <c r="O63" s="9" t="str">
        <f t="shared" si="8"/>
        <v>文臣</v>
      </c>
    </row>
    <row r="64" spans="1:15">
      <c r="A64" s="1">
        <v>63</v>
      </c>
      <c r="B64" s="1" t="s">
        <v>77</v>
      </c>
      <c r="C64" s="1">
        <v>86</v>
      </c>
      <c r="D64" s="1">
        <v>70</v>
      </c>
      <c r="E64" s="1">
        <v>82</v>
      </c>
      <c r="F64" s="1">
        <v>85</v>
      </c>
      <c r="G64" s="1">
        <v>323</v>
      </c>
      <c r="H64" s="1" t="str">
        <f t="shared" si="9"/>
        <v>C</v>
      </c>
      <c r="I64" s="1">
        <f t="shared" si="2"/>
        <v>78</v>
      </c>
      <c r="J64" s="1">
        <f t="shared" si="3"/>
        <v>83.5</v>
      </c>
      <c r="K64" s="1">
        <f t="shared" si="4"/>
        <v>86</v>
      </c>
      <c r="L64" s="6" t="str">
        <f t="shared" si="5"/>
        <v>C</v>
      </c>
      <c r="M64" s="5" t="str">
        <f t="shared" si="6"/>
        <v>B</v>
      </c>
      <c r="N64" s="5" t="str">
        <f t="shared" si="7"/>
        <v>B</v>
      </c>
      <c r="O64" s="9" t="str">
        <f t="shared" si="8"/>
        <v>文臣</v>
      </c>
    </row>
    <row r="65" spans="1:15">
      <c r="A65" s="1">
        <v>64</v>
      </c>
      <c r="B65" s="1" t="s">
        <v>78</v>
      </c>
      <c r="C65" s="1">
        <v>80</v>
      </c>
      <c r="D65" s="1">
        <v>72</v>
      </c>
      <c r="E65" s="1">
        <v>88</v>
      </c>
      <c r="F65" s="1">
        <v>82</v>
      </c>
      <c r="G65" s="1">
        <v>322</v>
      </c>
      <c r="H65" s="1" t="str">
        <f t="shared" si="9"/>
        <v>C</v>
      </c>
      <c r="I65" s="1">
        <f t="shared" si="2"/>
        <v>76</v>
      </c>
      <c r="J65" s="1">
        <f t="shared" si="3"/>
        <v>85</v>
      </c>
      <c r="K65" s="1">
        <f t="shared" si="4"/>
        <v>88</v>
      </c>
      <c r="L65" s="6" t="str">
        <f t="shared" si="5"/>
        <v>C</v>
      </c>
      <c r="M65" s="5" t="str">
        <f t="shared" si="6"/>
        <v>B</v>
      </c>
      <c r="N65" s="4" t="str">
        <f t="shared" si="7"/>
        <v>A</v>
      </c>
      <c r="O65" s="9" t="str">
        <f t="shared" si="8"/>
        <v>文臣</v>
      </c>
    </row>
    <row r="66" spans="1:15">
      <c r="A66" s="1">
        <v>65</v>
      </c>
      <c r="B66" s="1" t="s">
        <v>79</v>
      </c>
      <c r="C66" s="1">
        <v>81</v>
      </c>
      <c r="D66" s="1">
        <v>79</v>
      </c>
      <c r="E66" s="1">
        <v>80</v>
      </c>
      <c r="F66" s="1">
        <v>81</v>
      </c>
      <c r="G66" s="1">
        <v>321</v>
      </c>
      <c r="H66" s="1" t="str">
        <f t="shared" ref="H66:H97" si="10">IF(G66&gt;380,"S+",IF(G66&gt;370,"S",IF(G66&gt;350,"A",IF(G66&gt;325,"B",IF(G66&gt;300,"C","D")))))</f>
        <v>C</v>
      </c>
      <c r="I66" s="1">
        <f t="shared" si="2"/>
        <v>80</v>
      </c>
      <c r="J66" s="1">
        <f t="shared" si="3"/>
        <v>80.5</v>
      </c>
      <c r="K66" s="1">
        <f t="shared" si="4"/>
        <v>81</v>
      </c>
      <c r="L66" s="6" t="str">
        <f t="shared" si="5"/>
        <v>C</v>
      </c>
      <c r="M66" s="6" t="str">
        <f t="shared" si="6"/>
        <v>C</v>
      </c>
      <c r="N66" s="6" t="str">
        <f t="shared" si="7"/>
        <v>C</v>
      </c>
      <c r="O66" s="9" t="str">
        <f t="shared" si="8"/>
        <v>文臣</v>
      </c>
    </row>
    <row r="67" spans="1:15">
      <c r="A67" s="1">
        <v>66</v>
      </c>
      <c r="B67" s="1" t="s">
        <v>80</v>
      </c>
      <c r="C67" s="1">
        <v>82</v>
      </c>
      <c r="D67" s="1">
        <v>77</v>
      </c>
      <c r="E67" s="1">
        <v>85</v>
      </c>
      <c r="F67" s="1">
        <v>76</v>
      </c>
      <c r="G67" s="1">
        <v>320</v>
      </c>
      <c r="H67" s="1" t="str">
        <f t="shared" si="10"/>
        <v>C</v>
      </c>
      <c r="I67" s="1">
        <f t="shared" ref="I67:I101" si="11">AVERAGE(C67:D67)</f>
        <v>79.5</v>
      </c>
      <c r="J67" s="1">
        <f t="shared" ref="J67:J101" si="12">AVERAGE(E67:F67)</f>
        <v>80.5</v>
      </c>
      <c r="K67" s="1">
        <f t="shared" ref="K67:K101" si="13">MAX(C67:F67)</f>
        <v>85</v>
      </c>
      <c r="L67" s="6" t="str">
        <f t="shared" ref="L67:L101" si="14">IF(I67=100,"S+",IF(I67&gt;=94,"S",IF(I67&gt;=88,"A",IF(I67&gt;=82,"B",IF(I67&gt;=76,"C","D")))))</f>
        <v>C</v>
      </c>
      <c r="M67" s="6" t="str">
        <f t="shared" ref="M67:M101" si="15">IF(J67=100,"S+",IF(J67&gt;=94,"S",IF(J67&gt;=88,"A",IF(J67&gt;=82,"B",IF(J67&gt;=76,"C","D")))))</f>
        <v>C</v>
      </c>
      <c r="N67" s="5" t="str">
        <f t="shared" ref="N67:N101" si="16">IF(K67=100,"S+",IF(K67&gt;=94,"S",IF(K67&gt;=88,"A",IF(K67&gt;=82,"B",IF(K67&gt;=76,"C","D")))))</f>
        <v>B</v>
      </c>
      <c r="O67" s="9" t="str">
        <f t="shared" ref="O67:O101" si="17">IF(AND(I67&gt;=90,J67&gt;=90),"全能",IF(AND(OR(I67&lt;80,J67&lt;80),K67&gt;=90),"特才",IF(I67&gt;J67,"武将","文臣")))</f>
        <v>文臣</v>
      </c>
    </row>
    <row r="68" spans="1:15">
      <c r="A68" s="1">
        <v>67</v>
      </c>
      <c r="B68" s="1" t="s">
        <v>81</v>
      </c>
      <c r="C68" s="1">
        <v>85</v>
      </c>
      <c r="D68" s="1">
        <v>80</v>
      </c>
      <c r="E68" s="1">
        <v>78</v>
      </c>
      <c r="F68" s="1">
        <v>77</v>
      </c>
      <c r="G68" s="1">
        <v>320</v>
      </c>
      <c r="H68" s="1" t="str">
        <f t="shared" si="10"/>
        <v>C</v>
      </c>
      <c r="I68" s="1">
        <f t="shared" si="11"/>
        <v>82.5</v>
      </c>
      <c r="J68" s="1">
        <f t="shared" si="12"/>
        <v>77.5</v>
      </c>
      <c r="K68" s="1">
        <f t="shared" si="13"/>
        <v>85</v>
      </c>
      <c r="L68" s="5" t="str">
        <f t="shared" si="14"/>
        <v>B</v>
      </c>
      <c r="M68" s="6" t="str">
        <f t="shared" si="15"/>
        <v>C</v>
      </c>
      <c r="N68" s="5" t="str">
        <f t="shared" si="16"/>
        <v>B</v>
      </c>
      <c r="O68" s="9" t="str">
        <f t="shared" si="17"/>
        <v>武将</v>
      </c>
    </row>
    <row r="69" spans="1:15">
      <c r="A69" s="1">
        <v>68</v>
      </c>
      <c r="B69" s="1" t="s">
        <v>82</v>
      </c>
      <c r="C69" s="1">
        <v>88</v>
      </c>
      <c r="D69" s="1">
        <v>79</v>
      </c>
      <c r="E69" s="1">
        <v>83</v>
      </c>
      <c r="F69" s="1">
        <v>70</v>
      </c>
      <c r="G69" s="1">
        <v>320</v>
      </c>
      <c r="H69" s="1" t="str">
        <f t="shared" si="10"/>
        <v>C</v>
      </c>
      <c r="I69" s="1">
        <f t="shared" si="11"/>
        <v>83.5</v>
      </c>
      <c r="J69" s="1">
        <f t="shared" si="12"/>
        <v>76.5</v>
      </c>
      <c r="K69" s="1">
        <f t="shared" si="13"/>
        <v>88</v>
      </c>
      <c r="L69" s="5" t="str">
        <f t="shared" si="14"/>
        <v>B</v>
      </c>
      <c r="M69" s="6" t="str">
        <f t="shared" si="15"/>
        <v>C</v>
      </c>
      <c r="N69" s="4" t="str">
        <f t="shared" si="16"/>
        <v>A</v>
      </c>
      <c r="O69" s="9" t="str">
        <f t="shared" si="17"/>
        <v>武将</v>
      </c>
    </row>
    <row r="70" spans="1:15">
      <c r="A70" s="1">
        <v>69</v>
      </c>
      <c r="B70" s="1" t="s">
        <v>83</v>
      </c>
      <c r="C70" s="1">
        <v>78</v>
      </c>
      <c r="D70" s="1">
        <v>72</v>
      </c>
      <c r="E70" s="1">
        <v>99</v>
      </c>
      <c r="F70" s="1">
        <v>70</v>
      </c>
      <c r="G70" s="1">
        <v>319</v>
      </c>
      <c r="H70" s="1" t="str">
        <f t="shared" si="10"/>
        <v>C</v>
      </c>
      <c r="I70" s="1">
        <f t="shared" si="11"/>
        <v>75</v>
      </c>
      <c r="J70" s="1">
        <f t="shared" si="12"/>
        <v>84.5</v>
      </c>
      <c r="K70" s="1">
        <f t="shared" si="13"/>
        <v>99</v>
      </c>
      <c r="L70" s="7" t="str">
        <f t="shared" si="14"/>
        <v>D</v>
      </c>
      <c r="M70" s="5" t="str">
        <f t="shared" si="15"/>
        <v>B</v>
      </c>
      <c r="N70" s="2" t="str">
        <f t="shared" si="16"/>
        <v>S</v>
      </c>
      <c r="O70" s="9" t="str">
        <f t="shared" si="17"/>
        <v>特才</v>
      </c>
    </row>
    <row r="71" spans="1:15">
      <c r="A71" s="1">
        <v>70</v>
      </c>
      <c r="B71" s="1" t="s">
        <v>84</v>
      </c>
      <c r="C71" s="1">
        <v>83</v>
      </c>
      <c r="D71" s="1">
        <v>82</v>
      </c>
      <c r="E71" s="1">
        <v>77</v>
      </c>
      <c r="F71" s="1">
        <v>77</v>
      </c>
      <c r="G71" s="1">
        <v>319</v>
      </c>
      <c r="H71" s="1" t="str">
        <f t="shared" si="10"/>
        <v>C</v>
      </c>
      <c r="I71" s="1">
        <f t="shared" si="11"/>
        <v>82.5</v>
      </c>
      <c r="J71" s="1">
        <f t="shared" si="12"/>
        <v>77</v>
      </c>
      <c r="K71" s="1">
        <f t="shared" si="13"/>
        <v>83</v>
      </c>
      <c r="L71" s="5" t="str">
        <f t="shared" si="14"/>
        <v>B</v>
      </c>
      <c r="M71" s="6" t="str">
        <f t="shared" si="15"/>
        <v>C</v>
      </c>
      <c r="N71" s="5" t="str">
        <f t="shared" si="16"/>
        <v>B</v>
      </c>
      <c r="O71" s="9" t="str">
        <f t="shared" si="17"/>
        <v>武将</v>
      </c>
    </row>
    <row r="72" spans="1:15">
      <c r="A72" s="1">
        <v>71</v>
      </c>
      <c r="B72" s="1" t="s">
        <v>85</v>
      </c>
      <c r="C72" s="1">
        <v>80</v>
      </c>
      <c r="D72" s="1">
        <v>78</v>
      </c>
      <c r="E72" s="1">
        <v>80</v>
      </c>
      <c r="F72" s="1">
        <v>81</v>
      </c>
      <c r="G72" s="1">
        <v>319</v>
      </c>
      <c r="H72" s="1" t="str">
        <f t="shared" si="10"/>
        <v>C</v>
      </c>
      <c r="I72" s="1">
        <f t="shared" si="11"/>
        <v>79</v>
      </c>
      <c r="J72" s="1">
        <f t="shared" si="12"/>
        <v>80.5</v>
      </c>
      <c r="K72" s="1">
        <f t="shared" si="13"/>
        <v>81</v>
      </c>
      <c r="L72" s="6" t="str">
        <f t="shared" si="14"/>
        <v>C</v>
      </c>
      <c r="M72" s="6" t="str">
        <f t="shared" si="15"/>
        <v>C</v>
      </c>
      <c r="N72" s="6" t="str">
        <f t="shared" si="16"/>
        <v>C</v>
      </c>
      <c r="O72" s="9" t="str">
        <f t="shared" si="17"/>
        <v>文臣</v>
      </c>
    </row>
    <row r="73" spans="1:15">
      <c r="A73" s="1">
        <v>72</v>
      </c>
      <c r="B73" s="1" t="s">
        <v>86</v>
      </c>
      <c r="C73" s="1">
        <v>79</v>
      </c>
      <c r="D73" s="1">
        <v>74</v>
      </c>
      <c r="E73" s="1">
        <v>92</v>
      </c>
      <c r="F73" s="1">
        <v>74</v>
      </c>
      <c r="G73" s="1">
        <v>319</v>
      </c>
      <c r="H73" s="1" t="str">
        <f t="shared" si="10"/>
        <v>C</v>
      </c>
      <c r="I73" s="1">
        <f t="shared" si="11"/>
        <v>76.5</v>
      </c>
      <c r="J73" s="1">
        <f t="shared" si="12"/>
        <v>83</v>
      </c>
      <c r="K73" s="1">
        <f t="shared" si="13"/>
        <v>92</v>
      </c>
      <c r="L73" s="6" t="str">
        <f t="shared" si="14"/>
        <v>C</v>
      </c>
      <c r="M73" s="5" t="str">
        <f t="shared" si="15"/>
        <v>B</v>
      </c>
      <c r="N73" s="4" t="str">
        <f t="shared" si="16"/>
        <v>A</v>
      </c>
      <c r="O73" s="9" t="str">
        <f t="shared" si="17"/>
        <v>特才</v>
      </c>
    </row>
    <row r="74" spans="1:15">
      <c r="A74" s="1">
        <v>73</v>
      </c>
      <c r="B74" s="1" t="s">
        <v>87</v>
      </c>
      <c r="C74" s="1">
        <v>84</v>
      </c>
      <c r="D74" s="1">
        <v>77</v>
      </c>
      <c r="E74" s="1">
        <v>78</v>
      </c>
      <c r="F74" s="1">
        <v>79</v>
      </c>
      <c r="G74" s="1">
        <v>318</v>
      </c>
      <c r="H74" s="1" t="str">
        <f t="shared" si="10"/>
        <v>C</v>
      </c>
      <c r="I74" s="1">
        <f t="shared" si="11"/>
        <v>80.5</v>
      </c>
      <c r="J74" s="1">
        <f t="shared" si="12"/>
        <v>78.5</v>
      </c>
      <c r="K74" s="1">
        <f t="shared" si="13"/>
        <v>84</v>
      </c>
      <c r="L74" s="6" t="str">
        <f t="shared" si="14"/>
        <v>C</v>
      </c>
      <c r="M74" s="6" t="str">
        <f t="shared" si="15"/>
        <v>C</v>
      </c>
      <c r="N74" s="5" t="str">
        <f t="shared" si="16"/>
        <v>B</v>
      </c>
      <c r="O74" s="9" t="str">
        <f t="shared" si="17"/>
        <v>武将</v>
      </c>
    </row>
    <row r="75" spans="1:15">
      <c r="A75" s="1">
        <v>74</v>
      </c>
      <c r="B75" s="1" t="s">
        <v>88</v>
      </c>
      <c r="C75" s="1">
        <v>78</v>
      </c>
      <c r="D75" s="1">
        <v>73</v>
      </c>
      <c r="E75" s="1">
        <v>82</v>
      </c>
      <c r="F75" s="1">
        <v>85</v>
      </c>
      <c r="G75" s="1">
        <v>318</v>
      </c>
      <c r="H75" s="1" t="str">
        <f t="shared" si="10"/>
        <v>C</v>
      </c>
      <c r="I75" s="1">
        <f t="shared" si="11"/>
        <v>75.5</v>
      </c>
      <c r="J75" s="1">
        <f t="shared" si="12"/>
        <v>83.5</v>
      </c>
      <c r="K75" s="1">
        <f t="shared" si="13"/>
        <v>85</v>
      </c>
      <c r="L75" s="7" t="str">
        <f t="shared" si="14"/>
        <v>D</v>
      </c>
      <c r="M75" s="5" t="str">
        <f t="shared" si="15"/>
        <v>B</v>
      </c>
      <c r="N75" s="5" t="str">
        <f t="shared" si="16"/>
        <v>B</v>
      </c>
      <c r="O75" s="9" t="str">
        <f t="shared" si="17"/>
        <v>文臣</v>
      </c>
    </row>
    <row r="76" spans="1:15">
      <c r="A76" s="1">
        <v>75</v>
      </c>
      <c r="B76" s="1" t="s">
        <v>89</v>
      </c>
      <c r="C76" s="1">
        <v>87</v>
      </c>
      <c r="D76" s="1">
        <v>81</v>
      </c>
      <c r="E76" s="1">
        <v>75</v>
      </c>
      <c r="F76" s="1">
        <v>75</v>
      </c>
      <c r="G76" s="1">
        <v>318</v>
      </c>
      <c r="H76" s="1" t="str">
        <f t="shared" si="10"/>
        <v>C</v>
      </c>
      <c r="I76" s="1">
        <f t="shared" si="11"/>
        <v>84</v>
      </c>
      <c r="J76" s="1">
        <f t="shared" si="12"/>
        <v>75</v>
      </c>
      <c r="K76" s="1">
        <f t="shared" si="13"/>
        <v>87</v>
      </c>
      <c r="L76" s="5" t="str">
        <f t="shared" si="14"/>
        <v>B</v>
      </c>
      <c r="M76" s="7" t="str">
        <f t="shared" si="15"/>
        <v>D</v>
      </c>
      <c r="N76" s="5" t="str">
        <f t="shared" si="16"/>
        <v>B</v>
      </c>
      <c r="O76" s="9" t="str">
        <f t="shared" si="17"/>
        <v>武将</v>
      </c>
    </row>
    <row r="77" spans="1:15">
      <c r="A77" s="1">
        <v>76</v>
      </c>
      <c r="B77" s="1" t="s">
        <v>90</v>
      </c>
      <c r="C77" s="1">
        <v>86</v>
      </c>
      <c r="D77" s="1">
        <v>88</v>
      </c>
      <c r="E77" s="1">
        <v>70</v>
      </c>
      <c r="F77" s="1">
        <v>73</v>
      </c>
      <c r="G77" s="1">
        <v>317</v>
      </c>
      <c r="H77" s="1" t="str">
        <f t="shared" si="10"/>
        <v>C</v>
      </c>
      <c r="I77" s="1">
        <f t="shared" si="11"/>
        <v>87</v>
      </c>
      <c r="J77" s="1">
        <f t="shared" si="12"/>
        <v>71.5</v>
      </c>
      <c r="K77" s="1">
        <f t="shared" si="13"/>
        <v>88</v>
      </c>
      <c r="L77" s="5" t="str">
        <f t="shared" si="14"/>
        <v>B</v>
      </c>
      <c r="M77" s="7" t="str">
        <f t="shared" si="15"/>
        <v>D</v>
      </c>
      <c r="N77" s="4" t="str">
        <f t="shared" si="16"/>
        <v>A</v>
      </c>
      <c r="O77" s="9" t="str">
        <f t="shared" si="17"/>
        <v>武将</v>
      </c>
    </row>
    <row r="78" spans="1:15">
      <c r="A78" s="1">
        <v>77</v>
      </c>
      <c r="B78" s="1" t="s">
        <v>91</v>
      </c>
      <c r="C78" s="1">
        <v>85</v>
      </c>
      <c r="D78" s="1">
        <v>85</v>
      </c>
      <c r="E78" s="1">
        <v>72</v>
      </c>
      <c r="F78" s="1">
        <v>75</v>
      </c>
      <c r="G78" s="1">
        <v>317</v>
      </c>
      <c r="H78" s="1" t="str">
        <f t="shared" si="10"/>
        <v>C</v>
      </c>
      <c r="I78" s="1">
        <f t="shared" si="11"/>
        <v>85</v>
      </c>
      <c r="J78" s="1">
        <f t="shared" si="12"/>
        <v>73.5</v>
      </c>
      <c r="K78" s="1">
        <f t="shared" si="13"/>
        <v>85</v>
      </c>
      <c r="L78" s="5" t="str">
        <f t="shared" si="14"/>
        <v>B</v>
      </c>
      <c r="M78" s="7" t="str">
        <f t="shared" si="15"/>
        <v>D</v>
      </c>
      <c r="N78" s="5" t="str">
        <f t="shared" si="16"/>
        <v>B</v>
      </c>
      <c r="O78" s="9" t="str">
        <f t="shared" si="17"/>
        <v>武将</v>
      </c>
    </row>
    <row r="79" spans="1:15">
      <c r="A79" s="1">
        <v>78</v>
      </c>
      <c r="B79" s="1" t="s">
        <v>92</v>
      </c>
      <c r="C79" s="1">
        <v>80</v>
      </c>
      <c r="D79" s="1">
        <v>75</v>
      </c>
      <c r="E79" s="1">
        <v>80</v>
      </c>
      <c r="F79" s="1">
        <v>82</v>
      </c>
      <c r="G79" s="1">
        <v>317</v>
      </c>
      <c r="H79" s="1" t="str">
        <f t="shared" si="10"/>
        <v>C</v>
      </c>
      <c r="I79" s="1">
        <f t="shared" si="11"/>
        <v>77.5</v>
      </c>
      <c r="J79" s="1">
        <f t="shared" si="12"/>
        <v>81</v>
      </c>
      <c r="K79" s="1">
        <f t="shared" si="13"/>
        <v>82</v>
      </c>
      <c r="L79" s="6" t="str">
        <f t="shared" si="14"/>
        <v>C</v>
      </c>
      <c r="M79" s="6" t="str">
        <f t="shared" si="15"/>
        <v>C</v>
      </c>
      <c r="N79" s="5" t="str">
        <f t="shared" si="16"/>
        <v>B</v>
      </c>
      <c r="O79" s="9" t="str">
        <f t="shared" si="17"/>
        <v>文臣</v>
      </c>
    </row>
    <row r="80" spans="1:15">
      <c r="A80" s="1">
        <v>79</v>
      </c>
      <c r="B80" s="1" t="s">
        <v>93</v>
      </c>
      <c r="C80" s="1">
        <v>82</v>
      </c>
      <c r="D80" s="1">
        <v>83</v>
      </c>
      <c r="E80" s="1">
        <v>76</v>
      </c>
      <c r="F80" s="1">
        <v>76</v>
      </c>
      <c r="G80" s="1">
        <v>317</v>
      </c>
      <c r="H80" s="1" t="str">
        <f t="shared" si="10"/>
        <v>C</v>
      </c>
      <c r="I80" s="1">
        <f t="shared" si="11"/>
        <v>82.5</v>
      </c>
      <c r="J80" s="1">
        <f t="shared" si="12"/>
        <v>76</v>
      </c>
      <c r="K80" s="1">
        <f t="shared" si="13"/>
        <v>83</v>
      </c>
      <c r="L80" s="5" t="str">
        <f t="shared" si="14"/>
        <v>B</v>
      </c>
      <c r="M80" s="6" t="str">
        <f t="shared" si="15"/>
        <v>C</v>
      </c>
      <c r="N80" s="5" t="str">
        <f t="shared" si="16"/>
        <v>B</v>
      </c>
      <c r="O80" s="9" t="str">
        <f t="shared" si="17"/>
        <v>武将</v>
      </c>
    </row>
    <row r="81" spans="1:15">
      <c r="A81" s="1">
        <v>80</v>
      </c>
      <c r="B81" s="1" t="s">
        <v>94</v>
      </c>
      <c r="C81" s="1">
        <v>81</v>
      </c>
      <c r="D81" s="1">
        <v>77</v>
      </c>
      <c r="E81" s="1">
        <v>79</v>
      </c>
      <c r="F81" s="1">
        <v>80</v>
      </c>
      <c r="G81" s="1">
        <v>317</v>
      </c>
      <c r="H81" s="1" t="str">
        <f t="shared" si="10"/>
        <v>C</v>
      </c>
      <c r="I81" s="1">
        <f t="shared" si="11"/>
        <v>79</v>
      </c>
      <c r="J81" s="1">
        <f t="shared" si="12"/>
        <v>79.5</v>
      </c>
      <c r="K81" s="1">
        <f t="shared" si="13"/>
        <v>81</v>
      </c>
      <c r="L81" s="6" t="str">
        <f t="shared" si="14"/>
        <v>C</v>
      </c>
      <c r="M81" s="6" t="str">
        <f t="shared" si="15"/>
        <v>C</v>
      </c>
      <c r="N81" s="6" t="str">
        <f t="shared" si="16"/>
        <v>C</v>
      </c>
      <c r="O81" s="9" t="str">
        <f t="shared" si="17"/>
        <v>文臣</v>
      </c>
    </row>
    <row r="82" spans="1:15">
      <c r="A82" s="1">
        <v>81</v>
      </c>
      <c r="B82" s="1" t="s">
        <v>95</v>
      </c>
      <c r="C82" s="1">
        <v>84</v>
      </c>
      <c r="D82" s="1">
        <v>82</v>
      </c>
      <c r="E82" s="1">
        <v>74</v>
      </c>
      <c r="F82" s="1">
        <v>76</v>
      </c>
      <c r="G82" s="1">
        <v>316</v>
      </c>
      <c r="H82" s="1" t="str">
        <f t="shared" si="10"/>
        <v>C</v>
      </c>
      <c r="I82" s="1">
        <f t="shared" si="11"/>
        <v>83</v>
      </c>
      <c r="J82" s="1">
        <f t="shared" si="12"/>
        <v>75</v>
      </c>
      <c r="K82" s="1">
        <f t="shared" si="13"/>
        <v>84</v>
      </c>
      <c r="L82" s="5" t="str">
        <f t="shared" si="14"/>
        <v>B</v>
      </c>
      <c r="M82" s="7" t="str">
        <f t="shared" si="15"/>
        <v>D</v>
      </c>
      <c r="N82" s="5" t="str">
        <f t="shared" si="16"/>
        <v>B</v>
      </c>
      <c r="O82" s="9" t="str">
        <f t="shared" si="17"/>
        <v>武将</v>
      </c>
    </row>
    <row r="83" spans="1:15">
      <c r="A83" s="1">
        <v>82</v>
      </c>
      <c r="B83" s="1" t="s">
        <v>96</v>
      </c>
      <c r="C83" s="1">
        <v>80</v>
      </c>
      <c r="D83" s="1">
        <v>76</v>
      </c>
      <c r="E83" s="1">
        <v>81</v>
      </c>
      <c r="F83" s="1">
        <v>79</v>
      </c>
      <c r="G83" s="1">
        <v>316</v>
      </c>
      <c r="H83" s="1" t="str">
        <f t="shared" si="10"/>
        <v>C</v>
      </c>
      <c r="I83" s="1">
        <f t="shared" si="11"/>
        <v>78</v>
      </c>
      <c r="J83" s="1">
        <f t="shared" si="12"/>
        <v>80</v>
      </c>
      <c r="K83" s="1">
        <f t="shared" si="13"/>
        <v>81</v>
      </c>
      <c r="L83" s="6" t="str">
        <f t="shared" si="14"/>
        <v>C</v>
      </c>
      <c r="M83" s="6" t="str">
        <f t="shared" si="15"/>
        <v>C</v>
      </c>
      <c r="N83" s="6" t="str">
        <f t="shared" si="16"/>
        <v>C</v>
      </c>
      <c r="O83" s="9" t="str">
        <f t="shared" si="17"/>
        <v>文臣</v>
      </c>
    </row>
    <row r="84" spans="1:15">
      <c r="A84" s="1">
        <v>83</v>
      </c>
      <c r="B84" s="1" t="s">
        <v>97</v>
      </c>
      <c r="C84" s="1">
        <v>85</v>
      </c>
      <c r="D84" s="1">
        <v>80</v>
      </c>
      <c r="E84" s="1">
        <v>73</v>
      </c>
      <c r="F84" s="1">
        <v>78</v>
      </c>
      <c r="G84" s="1">
        <v>316</v>
      </c>
      <c r="H84" s="1" t="str">
        <f t="shared" si="10"/>
        <v>C</v>
      </c>
      <c r="I84" s="1">
        <f t="shared" si="11"/>
        <v>82.5</v>
      </c>
      <c r="J84" s="1">
        <f t="shared" si="12"/>
        <v>75.5</v>
      </c>
      <c r="K84" s="1">
        <f t="shared" si="13"/>
        <v>85</v>
      </c>
      <c r="L84" s="5" t="str">
        <f t="shared" si="14"/>
        <v>B</v>
      </c>
      <c r="M84" s="7" t="str">
        <f t="shared" si="15"/>
        <v>D</v>
      </c>
      <c r="N84" s="5" t="str">
        <f t="shared" si="16"/>
        <v>B</v>
      </c>
      <c r="O84" s="9" t="str">
        <f t="shared" si="17"/>
        <v>武将</v>
      </c>
    </row>
    <row r="85" spans="1:15">
      <c r="A85" s="1">
        <v>84</v>
      </c>
      <c r="B85" s="1" t="s">
        <v>98</v>
      </c>
      <c r="C85" s="1">
        <v>79</v>
      </c>
      <c r="D85" s="1">
        <v>78</v>
      </c>
      <c r="E85" s="1">
        <v>80</v>
      </c>
      <c r="F85" s="1">
        <v>79</v>
      </c>
      <c r="G85" s="1">
        <v>316</v>
      </c>
      <c r="H85" s="1" t="str">
        <f t="shared" si="10"/>
        <v>C</v>
      </c>
      <c r="I85" s="1">
        <f t="shared" si="11"/>
        <v>78.5</v>
      </c>
      <c r="J85" s="1">
        <f t="shared" si="12"/>
        <v>79.5</v>
      </c>
      <c r="K85" s="1">
        <f t="shared" si="13"/>
        <v>80</v>
      </c>
      <c r="L85" s="6" t="str">
        <f t="shared" si="14"/>
        <v>C</v>
      </c>
      <c r="M85" s="6" t="str">
        <f t="shared" si="15"/>
        <v>C</v>
      </c>
      <c r="N85" s="6" t="str">
        <f t="shared" si="16"/>
        <v>C</v>
      </c>
      <c r="O85" s="9" t="str">
        <f t="shared" si="17"/>
        <v>文臣</v>
      </c>
    </row>
    <row r="86" spans="1:15">
      <c r="A86" s="1">
        <v>85</v>
      </c>
      <c r="B86" s="1" t="s">
        <v>99</v>
      </c>
      <c r="C86" s="1">
        <v>81</v>
      </c>
      <c r="D86" s="1">
        <v>76</v>
      </c>
      <c r="E86" s="1">
        <v>82</v>
      </c>
      <c r="F86" s="1">
        <v>77</v>
      </c>
      <c r="G86" s="1">
        <v>316</v>
      </c>
      <c r="H86" s="1" t="str">
        <f t="shared" si="10"/>
        <v>C</v>
      </c>
      <c r="I86" s="1">
        <f t="shared" si="11"/>
        <v>78.5</v>
      </c>
      <c r="J86" s="1">
        <f t="shared" si="12"/>
        <v>79.5</v>
      </c>
      <c r="K86" s="1">
        <f t="shared" si="13"/>
        <v>82</v>
      </c>
      <c r="L86" s="6" t="str">
        <f t="shared" si="14"/>
        <v>C</v>
      </c>
      <c r="M86" s="6" t="str">
        <f t="shared" si="15"/>
        <v>C</v>
      </c>
      <c r="N86" s="5" t="str">
        <f t="shared" si="16"/>
        <v>B</v>
      </c>
      <c r="O86" s="9" t="str">
        <f t="shared" si="17"/>
        <v>文臣</v>
      </c>
    </row>
    <row r="87" spans="1:15">
      <c r="A87" s="1">
        <v>86</v>
      </c>
      <c r="B87" s="1" t="s">
        <v>100</v>
      </c>
      <c r="C87" s="1">
        <v>82</v>
      </c>
      <c r="D87" s="1">
        <v>73</v>
      </c>
      <c r="E87" s="1">
        <v>80</v>
      </c>
      <c r="F87" s="1">
        <v>80</v>
      </c>
      <c r="G87" s="1">
        <v>315</v>
      </c>
      <c r="H87" s="1" t="str">
        <f t="shared" si="10"/>
        <v>C</v>
      </c>
      <c r="I87" s="1">
        <f t="shared" si="11"/>
        <v>77.5</v>
      </c>
      <c r="J87" s="1">
        <f t="shared" si="12"/>
        <v>80</v>
      </c>
      <c r="K87" s="1">
        <f t="shared" si="13"/>
        <v>82</v>
      </c>
      <c r="L87" s="6" t="str">
        <f t="shared" si="14"/>
        <v>C</v>
      </c>
      <c r="M87" s="6" t="str">
        <f t="shared" si="15"/>
        <v>C</v>
      </c>
      <c r="N87" s="5" t="str">
        <f t="shared" si="16"/>
        <v>B</v>
      </c>
      <c r="O87" s="9" t="str">
        <f t="shared" si="17"/>
        <v>文臣</v>
      </c>
    </row>
    <row r="88" spans="1:15">
      <c r="A88" s="1">
        <v>87</v>
      </c>
      <c r="B88" s="1" t="s">
        <v>101</v>
      </c>
      <c r="C88" s="1">
        <v>83</v>
      </c>
      <c r="D88" s="1">
        <v>79</v>
      </c>
      <c r="E88" s="1">
        <v>76</v>
      </c>
      <c r="F88" s="1">
        <v>77</v>
      </c>
      <c r="G88" s="1">
        <v>315</v>
      </c>
      <c r="H88" s="1" t="str">
        <f t="shared" si="10"/>
        <v>C</v>
      </c>
      <c r="I88" s="1">
        <f t="shared" si="11"/>
        <v>81</v>
      </c>
      <c r="J88" s="1">
        <f t="shared" si="12"/>
        <v>76.5</v>
      </c>
      <c r="K88" s="1">
        <f t="shared" si="13"/>
        <v>83</v>
      </c>
      <c r="L88" s="6" t="str">
        <f t="shared" si="14"/>
        <v>C</v>
      </c>
      <c r="M88" s="6" t="str">
        <f t="shared" si="15"/>
        <v>C</v>
      </c>
      <c r="N88" s="5" t="str">
        <f t="shared" si="16"/>
        <v>B</v>
      </c>
      <c r="O88" s="9" t="str">
        <f t="shared" si="17"/>
        <v>武将</v>
      </c>
    </row>
    <row r="89" spans="1:15">
      <c r="A89" s="1">
        <v>88</v>
      </c>
      <c r="B89" s="1" t="s">
        <v>102</v>
      </c>
      <c r="C89" s="1">
        <v>80</v>
      </c>
      <c r="D89" s="1">
        <v>81</v>
      </c>
      <c r="E89" s="1">
        <v>78</v>
      </c>
      <c r="F89" s="1">
        <v>76</v>
      </c>
      <c r="G89" s="1">
        <v>315</v>
      </c>
      <c r="H89" s="1" t="str">
        <f t="shared" si="10"/>
        <v>C</v>
      </c>
      <c r="I89" s="1">
        <f t="shared" si="11"/>
        <v>80.5</v>
      </c>
      <c r="J89" s="1">
        <f t="shared" si="12"/>
        <v>77</v>
      </c>
      <c r="K89" s="1">
        <f t="shared" si="13"/>
        <v>81</v>
      </c>
      <c r="L89" s="6" t="str">
        <f t="shared" si="14"/>
        <v>C</v>
      </c>
      <c r="M89" s="6" t="str">
        <f t="shared" si="15"/>
        <v>C</v>
      </c>
      <c r="N89" s="6" t="str">
        <f t="shared" si="16"/>
        <v>C</v>
      </c>
      <c r="O89" s="9" t="str">
        <f t="shared" si="17"/>
        <v>武将</v>
      </c>
    </row>
    <row r="90" spans="1:15">
      <c r="A90" s="1">
        <v>89</v>
      </c>
      <c r="B90" s="1" t="s">
        <v>103</v>
      </c>
      <c r="C90" s="1">
        <v>75</v>
      </c>
      <c r="D90" s="1">
        <v>68</v>
      </c>
      <c r="E90" s="1">
        <v>88</v>
      </c>
      <c r="F90" s="1">
        <v>84</v>
      </c>
      <c r="G90" s="1">
        <v>315</v>
      </c>
      <c r="H90" s="1" t="str">
        <f t="shared" si="10"/>
        <v>C</v>
      </c>
      <c r="I90" s="1">
        <f t="shared" si="11"/>
        <v>71.5</v>
      </c>
      <c r="J90" s="1">
        <f t="shared" si="12"/>
        <v>86</v>
      </c>
      <c r="K90" s="1">
        <f t="shared" si="13"/>
        <v>88</v>
      </c>
      <c r="L90" s="7" t="str">
        <f t="shared" si="14"/>
        <v>D</v>
      </c>
      <c r="M90" s="5" t="str">
        <f t="shared" si="15"/>
        <v>B</v>
      </c>
      <c r="N90" s="4" t="str">
        <f t="shared" si="16"/>
        <v>A</v>
      </c>
      <c r="O90" s="9" t="str">
        <f t="shared" si="17"/>
        <v>文臣</v>
      </c>
    </row>
    <row r="91" spans="1:15">
      <c r="A91" s="1">
        <v>90</v>
      </c>
      <c r="B91" s="1" t="s">
        <v>104</v>
      </c>
      <c r="C91" s="1">
        <v>83</v>
      </c>
      <c r="D91" s="1">
        <v>77</v>
      </c>
      <c r="E91" s="1">
        <v>79</v>
      </c>
      <c r="F91" s="1">
        <v>76</v>
      </c>
      <c r="G91" s="1">
        <v>315</v>
      </c>
      <c r="H91" s="1" t="str">
        <f t="shared" si="10"/>
        <v>C</v>
      </c>
      <c r="I91" s="1">
        <f t="shared" si="11"/>
        <v>80</v>
      </c>
      <c r="J91" s="1">
        <f t="shared" si="12"/>
        <v>77.5</v>
      </c>
      <c r="K91" s="1">
        <f t="shared" si="13"/>
        <v>83</v>
      </c>
      <c r="L91" s="6" t="str">
        <f t="shared" si="14"/>
        <v>C</v>
      </c>
      <c r="M91" s="6" t="str">
        <f t="shared" si="15"/>
        <v>C</v>
      </c>
      <c r="N91" s="5" t="str">
        <f t="shared" si="16"/>
        <v>B</v>
      </c>
      <c r="O91" s="9" t="str">
        <f t="shared" si="17"/>
        <v>武将</v>
      </c>
    </row>
    <row r="92" spans="1:15">
      <c r="A92" s="1">
        <v>91</v>
      </c>
      <c r="B92" s="1" t="s">
        <v>105</v>
      </c>
      <c r="C92" s="1">
        <v>82</v>
      </c>
      <c r="D92" s="1">
        <v>84</v>
      </c>
      <c r="E92" s="1">
        <v>75</v>
      </c>
      <c r="F92" s="1">
        <v>73</v>
      </c>
      <c r="G92" s="1">
        <v>314</v>
      </c>
      <c r="H92" s="1" t="str">
        <f t="shared" si="10"/>
        <v>C</v>
      </c>
      <c r="I92" s="1">
        <f t="shared" si="11"/>
        <v>83</v>
      </c>
      <c r="J92" s="1">
        <f t="shared" si="12"/>
        <v>74</v>
      </c>
      <c r="K92" s="1">
        <f t="shared" si="13"/>
        <v>84</v>
      </c>
      <c r="L92" s="5" t="str">
        <f t="shared" si="14"/>
        <v>B</v>
      </c>
      <c r="M92" s="7" t="str">
        <f t="shared" si="15"/>
        <v>D</v>
      </c>
      <c r="N92" s="5" t="str">
        <f t="shared" si="16"/>
        <v>B</v>
      </c>
      <c r="O92" s="9" t="str">
        <f t="shared" si="17"/>
        <v>武将</v>
      </c>
    </row>
    <row r="93" spans="1:15">
      <c r="A93" s="1">
        <v>92</v>
      </c>
      <c r="B93" s="1" t="s">
        <v>106</v>
      </c>
      <c r="C93" s="1">
        <v>79</v>
      </c>
      <c r="D93" s="1">
        <v>94</v>
      </c>
      <c r="E93" s="1">
        <v>75</v>
      </c>
      <c r="F93" s="1">
        <v>66</v>
      </c>
      <c r="G93" s="1">
        <v>314</v>
      </c>
      <c r="H93" s="1" t="str">
        <f t="shared" si="10"/>
        <v>C</v>
      </c>
      <c r="I93" s="1">
        <f t="shared" si="11"/>
        <v>86.5</v>
      </c>
      <c r="J93" s="1">
        <f t="shared" si="12"/>
        <v>70.5</v>
      </c>
      <c r="K93" s="1">
        <f t="shared" si="13"/>
        <v>94</v>
      </c>
      <c r="L93" s="5" t="str">
        <f t="shared" si="14"/>
        <v>B</v>
      </c>
      <c r="M93" s="7" t="str">
        <f t="shared" si="15"/>
        <v>D</v>
      </c>
      <c r="N93" s="2" t="str">
        <f t="shared" si="16"/>
        <v>S</v>
      </c>
      <c r="O93" s="9" t="str">
        <f t="shared" si="17"/>
        <v>特才</v>
      </c>
    </row>
    <row r="94" spans="1:15">
      <c r="A94" s="1">
        <v>93</v>
      </c>
      <c r="B94" s="1" t="s">
        <v>107</v>
      </c>
      <c r="C94" s="1">
        <v>81</v>
      </c>
      <c r="D94" s="1">
        <v>78</v>
      </c>
      <c r="E94" s="1">
        <v>77</v>
      </c>
      <c r="F94" s="1">
        <v>78</v>
      </c>
      <c r="G94" s="1">
        <v>314</v>
      </c>
      <c r="H94" s="1" t="str">
        <f t="shared" si="10"/>
        <v>C</v>
      </c>
      <c r="I94" s="1">
        <f t="shared" si="11"/>
        <v>79.5</v>
      </c>
      <c r="J94" s="1">
        <f t="shared" si="12"/>
        <v>77.5</v>
      </c>
      <c r="K94" s="1">
        <f t="shared" si="13"/>
        <v>81</v>
      </c>
      <c r="L94" s="6" t="str">
        <f t="shared" si="14"/>
        <v>C</v>
      </c>
      <c r="M94" s="6" t="str">
        <f t="shared" si="15"/>
        <v>C</v>
      </c>
      <c r="N94" s="6" t="str">
        <f t="shared" si="16"/>
        <v>C</v>
      </c>
      <c r="O94" s="9" t="str">
        <f t="shared" si="17"/>
        <v>武将</v>
      </c>
    </row>
    <row r="95" spans="1:15">
      <c r="A95" s="1">
        <v>94</v>
      </c>
      <c r="B95" s="1" t="s">
        <v>108</v>
      </c>
      <c r="C95" s="1">
        <v>80</v>
      </c>
      <c r="D95" s="1">
        <v>80</v>
      </c>
      <c r="E95" s="1">
        <v>77</v>
      </c>
      <c r="F95" s="1">
        <v>77</v>
      </c>
      <c r="G95" s="1">
        <v>314</v>
      </c>
      <c r="H95" s="1" t="str">
        <f t="shared" si="10"/>
        <v>C</v>
      </c>
      <c r="I95" s="1">
        <f t="shared" si="11"/>
        <v>80</v>
      </c>
      <c r="J95" s="1">
        <f t="shared" si="12"/>
        <v>77</v>
      </c>
      <c r="K95" s="1">
        <f t="shared" si="13"/>
        <v>80</v>
      </c>
      <c r="L95" s="6" t="str">
        <f t="shared" si="14"/>
        <v>C</v>
      </c>
      <c r="M95" s="6" t="str">
        <f t="shared" si="15"/>
        <v>C</v>
      </c>
      <c r="N95" s="6" t="str">
        <f t="shared" si="16"/>
        <v>C</v>
      </c>
      <c r="O95" s="9" t="str">
        <f t="shared" si="17"/>
        <v>武将</v>
      </c>
    </row>
    <row r="96" spans="1:15">
      <c r="A96" s="1">
        <v>95</v>
      </c>
      <c r="B96" s="1" t="s">
        <v>109</v>
      </c>
      <c r="C96" s="1">
        <v>78</v>
      </c>
      <c r="D96" s="1">
        <v>72</v>
      </c>
      <c r="E96" s="1">
        <v>85</v>
      </c>
      <c r="F96" s="1">
        <v>79</v>
      </c>
      <c r="G96" s="1">
        <v>314</v>
      </c>
      <c r="H96" s="1" t="str">
        <f t="shared" si="10"/>
        <v>C</v>
      </c>
      <c r="I96" s="1">
        <f t="shared" si="11"/>
        <v>75</v>
      </c>
      <c r="J96" s="1">
        <f t="shared" si="12"/>
        <v>82</v>
      </c>
      <c r="K96" s="1">
        <f t="shared" si="13"/>
        <v>85</v>
      </c>
      <c r="L96" s="7" t="str">
        <f t="shared" si="14"/>
        <v>D</v>
      </c>
      <c r="M96" s="5" t="str">
        <f t="shared" si="15"/>
        <v>B</v>
      </c>
      <c r="N96" s="5" t="str">
        <f t="shared" si="16"/>
        <v>B</v>
      </c>
      <c r="O96" s="9" t="str">
        <f t="shared" si="17"/>
        <v>文臣</v>
      </c>
    </row>
    <row r="97" spans="1:15">
      <c r="A97" s="1">
        <v>96</v>
      </c>
      <c r="B97" s="1" t="s">
        <v>110</v>
      </c>
      <c r="C97" s="1">
        <v>86</v>
      </c>
      <c r="D97" s="1">
        <v>82</v>
      </c>
      <c r="E97" s="1">
        <v>70</v>
      </c>
      <c r="F97" s="1">
        <v>75</v>
      </c>
      <c r="G97" s="1">
        <v>313</v>
      </c>
      <c r="H97" s="1" t="str">
        <f t="shared" si="10"/>
        <v>C</v>
      </c>
      <c r="I97" s="1">
        <f t="shared" si="11"/>
        <v>84</v>
      </c>
      <c r="J97" s="1">
        <f t="shared" si="12"/>
        <v>72.5</v>
      </c>
      <c r="K97" s="1">
        <f t="shared" si="13"/>
        <v>86</v>
      </c>
      <c r="L97" s="5" t="str">
        <f t="shared" si="14"/>
        <v>B</v>
      </c>
      <c r="M97" s="7" t="str">
        <f t="shared" si="15"/>
        <v>D</v>
      </c>
      <c r="N97" s="5" t="str">
        <f t="shared" si="16"/>
        <v>B</v>
      </c>
      <c r="O97" s="9" t="str">
        <f t="shared" si="17"/>
        <v>武将</v>
      </c>
    </row>
    <row r="98" spans="1:15">
      <c r="A98" s="1">
        <v>97</v>
      </c>
      <c r="B98" s="1" t="s">
        <v>111</v>
      </c>
      <c r="C98" s="1">
        <v>79</v>
      </c>
      <c r="D98" s="1">
        <v>77</v>
      </c>
      <c r="E98" s="1">
        <v>78</v>
      </c>
      <c r="F98" s="1">
        <v>79</v>
      </c>
      <c r="G98" s="1">
        <v>313</v>
      </c>
      <c r="H98" s="1" t="str">
        <f t="shared" ref="H98:H101" si="18">IF(G98&gt;380,"S+",IF(G98&gt;370,"S",IF(G98&gt;350,"A",IF(G98&gt;325,"B",IF(G98&gt;300,"C","D")))))</f>
        <v>C</v>
      </c>
      <c r="I98" s="1">
        <f t="shared" si="11"/>
        <v>78</v>
      </c>
      <c r="J98" s="1">
        <f t="shared" si="12"/>
        <v>78.5</v>
      </c>
      <c r="K98" s="1">
        <f t="shared" si="13"/>
        <v>79</v>
      </c>
      <c r="L98" s="6" t="str">
        <f t="shared" si="14"/>
        <v>C</v>
      </c>
      <c r="M98" s="6" t="str">
        <f t="shared" si="15"/>
        <v>C</v>
      </c>
      <c r="N98" s="6" t="str">
        <f t="shared" si="16"/>
        <v>C</v>
      </c>
      <c r="O98" s="9" t="str">
        <f t="shared" si="17"/>
        <v>文臣</v>
      </c>
    </row>
    <row r="99" spans="1:15">
      <c r="A99" s="1">
        <v>98</v>
      </c>
      <c r="B99" s="1" t="s">
        <v>112</v>
      </c>
      <c r="C99" s="1">
        <v>87</v>
      </c>
      <c r="D99" s="1">
        <v>89</v>
      </c>
      <c r="E99" s="1">
        <v>68</v>
      </c>
      <c r="F99" s="1">
        <v>69</v>
      </c>
      <c r="G99" s="1">
        <v>313</v>
      </c>
      <c r="H99" s="1" t="str">
        <f t="shared" si="18"/>
        <v>C</v>
      </c>
      <c r="I99" s="1">
        <f t="shared" si="11"/>
        <v>88</v>
      </c>
      <c r="J99" s="1">
        <f t="shared" si="12"/>
        <v>68.5</v>
      </c>
      <c r="K99" s="1">
        <f t="shared" si="13"/>
        <v>89</v>
      </c>
      <c r="L99" s="4" t="str">
        <f t="shared" si="14"/>
        <v>A</v>
      </c>
      <c r="M99" s="7" t="str">
        <f t="shared" si="15"/>
        <v>D</v>
      </c>
      <c r="N99" s="4" t="str">
        <f t="shared" si="16"/>
        <v>A</v>
      </c>
      <c r="O99" s="9" t="str">
        <f t="shared" si="17"/>
        <v>武将</v>
      </c>
    </row>
    <row r="100" spans="1:15">
      <c r="A100" s="1">
        <v>99</v>
      </c>
      <c r="B100" s="1" t="s">
        <v>113</v>
      </c>
      <c r="C100" s="1">
        <v>80</v>
      </c>
      <c r="D100" s="1">
        <v>76</v>
      </c>
      <c r="E100" s="1">
        <v>79</v>
      </c>
      <c r="F100" s="1">
        <v>78</v>
      </c>
      <c r="G100" s="1">
        <v>313</v>
      </c>
      <c r="H100" s="1" t="str">
        <f t="shared" si="18"/>
        <v>C</v>
      </c>
      <c r="I100" s="1">
        <f t="shared" si="11"/>
        <v>78</v>
      </c>
      <c r="J100" s="1">
        <f t="shared" si="12"/>
        <v>78.5</v>
      </c>
      <c r="K100" s="1">
        <f t="shared" si="13"/>
        <v>80</v>
      </c>
      <c r="L100" s="6" t="str">
        <f t="shared" si="14"/>
        <v>C</v>
      </c>
      <c r="M100" s="6" t="str">
        <f t="shared" si="15"/>
        <v>C</v>
      </c>
      <c r="N100" s="6" t="str">
        <f t="shared" si="16"/>
        <v>C</v>
      </c>
      <c r="O100" s="9" t="str">
        <f t="shared" si="17"/>
        <v>文臣</v>
      </c>
    </row>
    <row r="101" spans="1:15">
      <c r="A101" s="1">
        <v>100</v>
      </c>
      <c r="B101" s="1" t="s">
        <v>114</v>
      </c>
      <c r="C101" s="1">
        <v>81</v>
      </c>
      <c r="D101" s="1">
        <v>75</v>
      </c>
      <c r="E101" s="1">
        <v>78</v>
      </c>
      <c r="F101" s="1">
        <v>79</v>
      </c>
      <c r="G101" s="1">
        <v>313</v>
      </c>
      <c r="H101" s="1" t="str">
        <f t="shared" si="18"/>
        <v>C</v>
      </c>
      <c r="I101" s="1">
        <f t="shared" si="11"/>
        <v>78</v>
      </c>
      <c r="J101" s="1">
        <f t="shared" si="12"/>
        <v>78.5</v>
      </c>
      <c r="K101" s="1">
        <f t="shared" si="13"/>
        <v>81</v>
      </c>
      <c r="L101" s="6" t="str">
        <f t="shared" si="14"/>
        <v>C</v>
      </c>
      <c r="M101" s="6" t="str">
        <f t="shared" si="15"/>
        <v>C</v>
      </c>
      <c r="N101" s="6" t="str">
        <f t="shared" si="16"/>
        <v>C</v>
      </c>
      <c r="O101" s="9" t="str">
        <f t="shared" si="17"/>
        <v>文臣</v>
      </c>
    </row>
  </sheetData>
  <sortState ref="A2:H101">
    <sortCondition ref="G1:G101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zoomScale="85" zoomScaleNormal="85" workbookViewId="0">
      <selection activeCell="O3" sqref="O3"/>
    </sheetView>
  </sheetViews>
  <sheetFormatPr defaultColWidth="10.8787878787879" defaultRowHeight="15.6"/>
  <cols>
    <col min="1" max="16384" width="10.8787878787879" style="1"/>
  </cols>
  <sheetData>
    <row r="1" spans="1:16">
      <c r="A1" s="8" t="s">
        <v>0</v>
      </c>
      <c r="B1" s="8" t="s">
        <v>1</v>
      </c>
      <c r="C1" s="8" t="s">
        <v>2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  <c r="I1" s="8" t="s">
        <v>8</v>
      </c>
      <c r="J1" s="8" t="s">
        <v>9</v>
      </c>
      <c r="K1" s="8" t="s">
        <v>120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6">
      <c r="A2" s="1">
        <v>1</v>
      </c>
      <c r="B2" s="1" t="s">
        <v>121</v>
      </c>
      <c r="C2" s="1">
        <v>98</v>
      </c>
      <c r="D2" s="1">
        <v>72</v>
      </c>
      <c r="E2" s="1">
        <v>91</v>
      </c>
      <c r="F2" s="1">
        <v>94</v>
      </c>
      <c r="G2" s="1">
        <v>96</v>
      </c>
      <c r="H2" s="1">
        <f>SUM(C2:G2)</f>
        <v>451</v>
      </c>
      <c r="I2" s="1">
        <f>AVERAGE(C2:D2)</f>
        <v>85</v>
      </c>
      <c r="J2" s="1">
        <f>AVERAGE(E2:F2)</f>
        <v>92.5</v>
      </c>
      <c r="K2" s="1">
        <f>MAX(C2:G2)</f>
        <v>98</v>
      </c>
      <c r="L2" s="4" t="str">
        <f>IF(I2=100,"S+",IF(I2&gt;=90,"S",IF(I2&gt;=80,"A",IF(I2&gt;=70,"B",IF(I2&gt;=60,"C","D")))))</f>
        <v>A</v>
      </c>
      <c r="M2" s="2" t="str">
        <f>IF(J2=100,"S+",IF(J2&gt;=90,"S",IF(J2&gt;=80,"A",IF(J2&gt;=70,"B",IF(J2&gt;=60,"C","D")))))</f>
        <v>S</v>
      </c>
      <c r="N2" s="2" t="str">
        <f>IF(K2=100,"S+",IF(K2&gt;=90,"S",IF(K2&gt;=80,"A",IF(K2&gt;=70,"B",IF(K2&gt;=60,"C","D")))))</f>
        <v>S</v>
      </c>
      <c r="O2" s="9" t="str">
        <f>IF(MATCH(N2,{"D","C","B","A","S","S+"},0)&gt;MAX(MATCH(L2,{"D","C","B","A","S","S+"},0),MATCH(M2,{"D","C","B","A","S","S+"},0)),"特",IF(MATCH(L2,{"D","C","B","A","S","S+"},0)&gt;MATCH(M2,{"D","C","B","A","S","S+"},0),"武","文"))</f>
        <v>文</v>
      </c>
      <c r="P2" s="9" t="str">
        <f>IF(AND(J2&gt;=90,K2&gt;=90),"全能",IF(AND(OR(J2&lt;80,K2&lt;80),L2&gt;=90),"特才",IF(J2&gt;K2,"武将","文臣")))</f>
        <v>全能</v>
      </c>
    </row>
    <row r="3" spans="1:16">
      <c r="A3" s="1">
        <v>2</v>
      </c>
      <c r="B3" s="1" t="s">
        <v>122</v>
      </c>
      <c r="C3" s="1">
        <v>97</v>
      </c>
      <c r="D3" s="1">
        <v>71</v>
      </c>
      <c r="E3" s="1">
        <v>96</v>
      </c>
      <c r="F3" s="1">
        <v>86</v>
      </c>
      <c r="G3" s="1">
        <v>93</v>
      </c>
      <c r="H3" s="1">
        <f t="shared" ref="H3:H66" si="0">SUM(C3:G3)</f>
        <v>443</v>
      </c>
      <c r="I3" s="1">
        <f t="shared" ref="I3:I66" si="1">AVERAGE(C3:D3)</f>
        <v>84</v>
      </c>
      <c r="J3" s="1">
        <f t="shared" ref="J3:J66" si="2">AVERAGE(E3:F3)</f>
        <v>91</v>
      </c>
      <c r="K3" s="1">
        <f t="shared" ref="K3:K66" si="3">MAX(C3:G3)</f>
        <v>97</v>
      </c>
      <c r="L3" s="4" t="str">
        <f t="shared" ref="L3:L66" si="4">IF(I3=100,"S+",IF(I3&gt;=90,"S",IF(I3&gt;=80,"A",IF(I3&gt;=70,"B",IF(I3&gt;=60,"C","D")))))</f>
        <v>A</v>
      </c>
      <c r="M3" s="2" t="str">
        <f t="shared" ref="M3:M66" si="5">IF(J3=100,"S+",IF(J3&gt;=90,"S",IF(J3&gt;=80,"A",IF(J3&gt;=70,"B",IF(J3&gt;=60,"C","D")))))</f>
        <v>S</v>
      </c>
      <c r="N3" s="2" t="str">
        <f t="shared" ref="N3:N66" si="6">IF(K3=100,"S+",IF(K3&gt;=90,"S",IF(K3&gt;=80,"A",IF(K3&gt;=70,"B",IF(K3&gt;=60,"C","D")))))</f>
        <v>S</v>
      </c>
      <c r="O3" s="9" t="str">
        <f>IF(MATCH(N3,{"D","C","B","A","S","S+"},0)&gt;MAX(MATCH(L3,{"D","C","B","A","S","S+"},0),MATCH(M3,{"D","C","B","A","S","S+"},0)),"特",IF(MATCH(L3,{"D","C","B","A","S","S+"},0)&gt;MATCH(M3,{"D","C","B","A","S","S+"},0),"武","文"))</f>
        <v>文</v>
      </c>
      <c r="P3" s="9" t="str">
        <f t="shared" ref="P3:P66" si="7">IF(AND(J3&gt;=90,K3&gt;=90),"全能",IF(AND(OR(J3&lt;80,K3&lt;80),L3&gt;=90),"特才",IF(J3&gt;K3,"武将","文臣")))</f>
        <v>全能</v>
      </c>
    </row>
    <row r="4" spans="1:16">
      <c r="A4" s="1">
        <v>3</v>
      </c>
      <c r="B4" s="1" t="s">
        <v>123</v>
      </c>
      <c r="C4" s="1">
        <v>99</v>
      </c>
      <c r="D4" s="1">
        <v>63</v>
      </c>
      <c r="E4" s="1">
        <v>96</v>
      </c>
      <c r="F4" s="1">
        <v>93</v>
      </c>
      <c r="G4" s="1">
        <v>87</v>
      </c>
      <c r="H4" s="1">
        <f t="shared" si="0"/>
        <v>438</v>
      </c>
      <c r="I4" s="1">
        <f t="shared" si="1"/>
        <v>81</v>
      </c>
      <c r="J4" s="1">
        <f t="shared" si="2"/>
        <v>94.5</v>
      </c>
      <c r="K4" s="1">
        <f t="shared" si="3"/>
        <v>99</v>
      </c>
      <c r="L4" s="4" t="str">
        <f t="shared" si="4"/>
        <v>A</v>
      </c>
      <c r="M4" s="2" t="str">
        <f t="shared" si="5"/>
        <v>S</v>
      </c>
      <c r="N4" s="2" t="str">
        <f t="shared" si="6"/>
        <v>S</v>
      </c>
      <c r="O4" s="9" t="str">
        <f>IF(MATCH(N4,{"D","C","B","A","S","S+"},0)&gt;MAX(MATCH(L4,{"D","C","B","A","S","S+"},0),MATCH(M4,{"D","C","B","A","S","S+"},0)),"特",IF(MATCH(L4,{"D","C","B","A","S","S+"},0)&gt;MATCH(M4,{"D","C","B","A","S","S+"},0),"武","文"))</f>
        <v>文</v>
      </c>
      <c r="P4" s="9" t="str">
        <f t="shared" si="7"/>
        <v>全能</v>
      </c>
    </row>
    <row r="5" spans="1:16">
      <c r="A5" s="1">
        <v>4</v>
      </c>
      <c r="B5" s="1" t="s">
        <v>124</v>
      </c>
      <c r="C5" s="1">
        <v>96</v>
      </c>
      <c r="D5" s="1">
        <v>69</v>
      </c>
      <c r="E5" s="1">
        <v>95</v>
      </c>
      <c r="F5" s="1">
        <v>87</v>
      </c>
      <c r="G5" s="1">
        <v>90</v>
      </c>
      <c r="H5" s="1">
        <f t="shared" si="0"/>
        <v>437</v>
      </c>
      <c r="I5" s="1">
        <f t="shared" si="1"/>
        <v>82.5</v>
      </c>
      <c r="J5" s="1">
        <f t="shared" si="2"/>
        <v>91</v>
      </c>
      <c r="K5" s="1">
        <f t="shared" si="3"/>
        <v>96</v>
      </c>
      <c r="L5" s="4" t="str">
        <f t="shared" si="4"/>
        <v>A</v>
      </c>
      <c r="M5" s="2" t="str">
        <f t="shared" si="5"/>
        <v>S</v>
      </c>
      <c r="N5" s="2" t="str">
        <f t="shared" si="6"/>
        <v>S</v>
      </c>
      <c r="O5" s="9" t="str">
        <f>IF(MATCH(N5,{"D","C","B","A","S","S+"},0)&gt;MAX(MATCH(L5,{"D","C","B","A","S","S+"},0),MATCH(M5,{"D","C","B","A","S","S+"},0)),"特",IF(MATCH(L5,{"D","C","B","A","S","S+"},0)&gt;MATCH(M5,{"D","C","B","A","S","S+"},0),"武","文"))</f>
        <v>文</v>
      </c>
      <c r="P5" s="9" t="str">
        <f t="shared" si="7"/>
        <v>全能</v>
      </c>
    </row>
    <row r="6" spans="1:16">
      <c r="A6" s="1">
        <v>5</v>
      </c>
      <c r="B6" s="1" t="s">
        <v>125</v>
      </c>
      <c r="C6" s="1">
        <v>93</v>
      </c>
      <c r="D6" s="1">
        <v>90</v>
      </c>
      <c r="E6" s="1">
        <v>74</v>
      </c>
      <c r="F6" s="1">
        <v>73</v>
      </c>
      <c r="G6" s="1">
        <v>91</v>
      </c>
      <c r="H6" s="1">
        <f t="shared" si="0"/>
        <v>421</v>
      </c>
      <c r="I6" s="1">
        <f t="shared" si="1"/>
        <v>91.5</v>
      </c>
      <c r="J6" s="1">
        <f t="shared" si="2"/>
        <v>73.5</v>
      </c>
      <c r="K6" s="1">
        <f t="shared" si="3"/>
        <v>93</v>
      </c>
      <c r="L6" s="2" t="str">
        <f t="shared" si="4"/>
        <v>S</v>
      </c>
      <c r="M6" s="5" t="str">
        <f t="shared" si="5"/>
        <v>B</v>
      </c>
      <c r="N6" s="2" t="str">
        <f t="shared" si="6"/>
        <v>S</v>
      </c>
      <c r="O6" s="9" t="str">
        <f>IF(MATCH(N6,{"D","C","B","A","S","S+"},0)&gt;MAX(MATCH(L6,{"D","C","B","A","S","S+"},0),MATCH(M6,{"D","C","B","A","S","S+"},0)),"特",IF(MATCH(L6,{"D","C","B","A","S","S+"},0)&gt;MATCH(M6,{"D","C","B","A","S","S+"},0),"武","文"))</f>
        <v>武</v>
      </c>
      <c r="P6" s="9" t="str">
        <f t="shared" si="7"/>
        <v>特才</v>
      </c>
    </row>
    <row r="7" spans="1:16">
      <c r="A7" s="1">
        <v>6</v>
      </c>
      <c r="B7" s="1" t="s">
        <v>126</v>
      </c>
      <c r="C7" s="1">
        <v>91</v>
      </c>
      <c r="D7" s="1">
        <v>81</v>
      </c>
      <c r="E7" s="1">
        <v>89</v>
      </c>
      <c r="F7" s="1">
        <v>78</v>
      </c>
      <c r="G7" s="1">
        <v>82</v>
      </c>
      <c r="H7" s="1">
        <f t="shared" si="0"/>
        <v>421</v>
      </c>
      <c r="I7" s="1">
        <f t="shared" si="1"/>
        <v>86</v>
      </c>
      <c r="J7" s="1">
        <f t="shared" si="2"/>
        <v>83.5</v>
      </c>
      <c r="K7" s="1">
        <f t="shared" si="3"/>
        <v>91</v>
      </c>
      <c r="L7" s="4" t="str">
        <f t="shared" si="4"/>
        <v>A</v>
      </c>
      <c r="M7" s="4" t="str">
        <f t="shared" si="5"/>
        <v>A</v>
      </c>
      <c r="N7" s="2" t="str">
        <f t="shared" si="6"/>
        <v>S</v>
      </c>
      <c r="O7" s="9" t="str">
        <f>IF(MATCH(N7,{"D","C","B","A","S","S+"},0)&gt;MAX(MATCH(L7,{"D","C","B","A","S","S+"},0),MATCH(M7,{"D","C","B","A","S","S+"},0)),"特",IF(MATCH(L7,{"D","C","B","A","S","S+"},0)&gt;MATCH(M7,{"D","C","B","A","S","S+"},0),"武","文"))</f>
        <v>特</v>
      </c>
      <c r="P7" s="9" t="str">
        <f t="shared" si="7"/>
        <v>文臣</v>
      </c>
    </row>
    <row r="8" spans="1:16">
      <c r="A8" s="1">
        <v>7</v>
      </c>
      <c r="B8" s="1" t="s">
        <v>127</v>
      </c>
      <c r="C8" s="1">
        <v>94</v>
      </c>
      <c r="D8" s="1">
        <v>87</v>
      </c>
      <c r="E8" s="1">
        <v>89</v>
      </c>
      <c r="F8" s="1">
        <v>81</v>
      </c>
      <c r="G8" s="1">
        <v>70</v>
      </c>
      <c r="H8" s="1">
        <f t="shared" si="0"/>
        <v>421</v>
      </c>
      <c r="I8" s="1">
        <f t="shared" si="1"/>
        <v>90.5</v>
      </c>
      <c r="J8" s="1">
        <f t="shared" si="2"/>
        <v>85</v>
      </c>
      <c r="K8" s="1">
        <f t="shared" si="3"/>
        <v>94</v>
      </c>
      <c r="L8" s="2" t="str">
        <f t="shared" si="4"/>
        <v>S</v>
      </c>
      <c r="M8" s="4" t="str">
        <f t="shared" si="5"/>
        <v>A</v>
      </c>
      <c r="N8" s="2" t="str">
        <f t="shared" si="6"/>
        <v>S</v>
      </c>
      <c r="O8" s="9" t="str">
        <f>IF(MATCH(N8,{"D","C","B","A","S","S+"},0)&gt;MAX(MATCH(L8,{"D","C","B","A","S","S+"},0),MATCH(M8,{"D","C","B","A","S","S+"},0)),"特",IF(MATCH(L8,{"D","C","B","A","S","S+"},0)&gt;MATCH(M8,{"D","C","B","A","S","S+"},0),"武","文"))</f>
        <v>武</v>
      </c>
      <c r="P8" s="9" t="str">
        <f t="shared" si="7"/>
        <v>文臣</v>
      </c>
    </row>
    <row r="9" spans="1:16">
      <c r="A9" s="1">
        <v>8</v>
      </c>
      <c r="B9" s="1" t="s">
        <v>128</v>
      </c>
      <c r="C9" s="1">
        <v>96</v>
      </c>
      <c r="D9" s="1">
        <v>97</v>
      </c>
      <c r="E9" s="1">
        <v>75</v>
      </c>
      <c r="F9" s="1">
        <v>62</v>
      </c>
      <c r="G9" s="1">
        <v>93</v>
      </c>
      <c r="H9" s="1">
        <f t="shared" si="0"/>
        <v>423</v>
      </c>
      <c r="I9" s="1">
        <f t="shared" si="1"/>
        <v>96.5</v>
      </c>
      <c r="J9" s="1">
        <f t="shared" si="2"/>
        <v>68.5</v>
      </c>
      <c r="K9" s="1">
        <f t="shared" si="3"/>
        <v>97</v>
      </c>
      <c r="L9" s="2" t="str">
        <f t="shared" si="4"/>
        <v>S</v>
      </c>
      <c r="M9" s="6" t="str">
        <f t="shared" si="5"/>
        <v>C</v>
      </c>
      <c r="N9" s="2" t="str">
        <f t="shared" si="6"/>
        <v>S</v>
      </c>
      <c r="O9" s="9" t="str">
        <f>IF(MATCH(N9,{"D","C","B","A","S","S+"},0)&gt;MAX(MATCH(L9,{"D","C","B","A","S","S+"},0),MATCH(M9,{"D","C","B","A","S","S+"},0)),"特",IF(MATCH(L9,{"D","C","B","A","S","S+"},0)&gt;MATCH(M9,{"D","C","B","A","S","S+"},0),"武","文"))</f>
        <v>武</v>
      </c>
      <c r="P9" s="9" t="str">
        <f t="shared" si="7"/>
        <v>特才</v>
      </c>
    </row>
    <row r="10" spans="1:16">
      <c r="A10" s="1">
        <v>9</v>
      </c>
      <c r="B10" s="1" t="s">
        <v>129</v>
      </c>
      <c r="C10" s="1">
        <v>91</v>
      </c>
      <c r="D10" s="1">
        <v>63</v>
      </c>
      <c r="E10" s="1">
        <v>87</v>
      </c>
      <c r="F10" s="1">
        <v>85</v>
      </c>
      <c r="G10" s="1">
        <v>87</v>
      </c>
      <c r="H10" s="1">
        <f t="shared" si="0"/>
        <v>413</v>
      </c>
      <c r="I10" s="1">
        <f t="shared" si="1"/>
        <v>77</v>
      </c>
      <c r="J10" s="1">
        <f t="shared" si="2"/>
        <v>86</v>
      </c>
      <c r="K10" s="1">
        <f t="shared" si="3"/>
        <v>91</v>
      </c>
      <c r="L10" s="5" t="str">
        <f t="shared" si="4"/>
        <v>B</v>
      </c>
      <c r="M10" s="4" t="str">
        <f t="shared" si="5"/>
        <v>A</v>
      </c>
      <c r="N10" s="2" t="str">
        <f t="shared" si="6"/>
        <v>S</v>
      </c>
      <c r="O10" s="9" t="str">
        <f>IF(MATCH(N10,{"D","C","B","A","S","S+"},0)&gt;MAX(MATCH(L10,{"D","C","B","A","S","S+"},0),MATCH(M10,{"D","C","B","A","S","S+"},0)),"特",IF(MATCH(L10,{"D","C","B","A","S","S+"},0)&gt;MATCH(M10,{"D","C","B","A","S","S+"},0),"武","文"))</f>
        <v>特</v>
      </c>
      <c r="P10" s="9" t="str">
        <f t="shared" si="7"/>
        <v>文臣</v>
      </c>
    </row>
    <row r="11" spans="1:16">
      <c r="A11" s="1">
        <v>10</v>
      </c>
      <c r="B11" s="1" t="s">
        <v>130</v>
      </c>
      <c r="C11" s="1">
        <v>90</v>
      </c>
      <c r="D11" s="1">
        <v>56</v>
      </c>
      <c r="E11" s="1">
        <v>92</v>
      </c>
      <c r="F11" s="1">
        <v>94</v>
      </c>
      <c r="G11" s="1">
        <v>80</v>
      </c>
      <c r="H11" s="1">
        <f t="shared" si="0"/>
        <v>412</v>
      </c>
      <c r="I11" s="1">
        <f t="shared" si="1"/>
        <v>73</v>
      </c>
      <c r="J11" s="1">
        <f t="shared" si="2"/>
        <v>93</v>
      </c>
      <c r="K11" s="1">
        <f t="shared" si="3"/>
        <v>94</v>
      </c>
      <c r="L11" s="5" t="str">
        <f t="shared" si="4"/>
        <v>B</v>
      </c>
      <c r="M11" s="2" t="str">
        <f t="shared" si="5"/>
        <v>S</v>
      </c>
      <c r="N11" s="2" t="str">
        <f t="shared" si="6"/>
        <v>S</v>
      </c>
      <c r="O11" s="9" t="str">
        <f>IF(MATCH(N11,{"D","C","B","A","S","S+"},0)&gt;MAX(MATCH(L11,{"D","C","B","A","S","S+"},0),MATCH(M11,{"D","C","B","A","S","S+"},0)),"特",IF(MATCH(L11,{"D","C","B","A","S","S+"},0)&gt;MATCH(M11,{"D","C","B","A","S","S+"},0),"武","文"))</f>
        <v>文</v>
      </c>
      <c r="P11" s="9" t="str">
        <f t="shared" si="7"/>
        <v>全能</v>
      </c>
    </row>
    <row r="12" spans="1:16">
      <c r="A12" s="1">
        <v>11</v>
      </c>
      <c r="B12" s="1" t="s">
        <v>131</v>
      </c>
      <c r="C12" s="1">
        <v>88</v>
      </c>
      <c r="D12" s="1">
        <v>67</v>
      </c>
      <c r="E12" s="1">
        <v>88</v>
      </c>
      <c r="F12" s="1">
        <v>91</v>
      </c>
      <c r="G12" s="1">
        <v>78</v>
      </c>
      <c r="H12" s="1">
        <f t="shared" si="0"/>
        <v>412</v>
      </c>
      <c r="I12" s="1">
        <f t="shared" si="1"/>
        <v>77.5</v>
      </c>
      <c r="J12" s="1">
        <f t="shared" si="2"/>
        <v>89.5</v>
      </c>
      <c r="K12" s="1">
        <f t="shared" si="3"/>
        <v>91</v>
      </c>
      <c r="L12" s="5" t="str">
        <f t="shared" si="4"/>
        <v>B</v>
      </c>
      <c r="M12" s="4" t="str">
        <f t="shared" si="5"/>
        <v>A</v>
      </c>
      <c r="N12" s="2" t="str">
        <f t="shared" si="6"/>
        <v>S</v>
      </c>
      <c r="O12" s="9" t="str">
        <f>IF(MATCH(N12,{"D","C","B","A","S","S+"},0)&gt;MAX(MATCH(L12,{"D","C","B","A","S","S+"},0),MATCH(M12,{"D","C","B","A","S","S+"},0)),"特",IF(MATCH(L12,{"D","C","B","A","S","S+"},0)&gt;MATCH(M12,{"D","C","B","A","S","S+"},0),"武","文"))</f>
        <v>特</v>
      </c>
      <c r="P12" s="9" t="str">
        <f t="shared" si="7"/>
        <v>文臣</v>
      </c>
    </row>
    <row r="13" spans="1:16">
      <c r="A13" s="1">
        <v>12</v>
      </c>
      <c r="B13" s="1" t="s">
        <v>132</v>
      </c>
      <c r="C13" s="1">
        <v>92</v>
      </c>
      <c r="D13" s="1">
        <v>92</v>
      </c>
      <c r="E13" s="1">
        <v>69</v>
      </c>
      <c r="F13" s="1">
        <v>70</v>
      </c>
      <c r="G13" s="1">
        <v>92</v>
      </c>
      <c r="H13" s="1">
        <f t="shared" si="0"/>
        <v>415</v>
      </c>
      <c r="I13" s="1">
        <f t="shared" si="1"/>
        <v>92</v>
      </c>
      <c r="J13" s="1">
        <f t="shared" si="2"/>
        <v>69.5</v>
      </c>
      <c r="K13" s="1">
        <f t="shared" si="3"/>
        <v>92</v>
      </c>
      <c r="L13" s="2" t="str">
        <f t="shared" si="4"/>
        <v>S</v>
      </c>
      <c r="M13" s="6" t="str">
        <f t="shared" si="5"/>
        <v>C</v>
      </c>
      <c r="N13" s="2" t="str">
        <f t="shared" si="6"/>
        <v>S</v>
      </c>
      <c r="O13" s="9" t="str">
        <f>IF(MATCH(N13,{"D","C","B","A","S","S+"},0)&gt;MAX(MATCH(L13,{"D","C","B","A","S","S+"},0),MATCH(M13,{"D","C","B","A","S","S+"},0)),"特",IF(MATCH(L13,{"D","C","B","A","S","S+"},0)&gt;MATCH(M13,{"D","C","B","A","S","S+"},0),"武","文"))</f>
        <v>武</v>
      </c>
      <c r="P13" s="9" t="str">
        <f t="shared" si="7"/>
        <v>特才</v>
      </c>
    </row>
    <row r="14" spans="1:16">
      <c r="A14" s="1">
        <v>13</v>
      </c>
      <c r="B14" s="1" t="s">
        <v>133</v>
      </c>
      <c r="C14" s="1">
        <v>79</v>
      </c>
      <c r="D14" s="1">
        <v>67</v>
      </c>
      <c r="E14" s="1">
        <v>84</v>
      </c>
      <c r="F14" s="1">
        <v>90</v>
      </c>
      <c r="G14" s="1">
        <v>95</v>
      </c>
      <c r="H14" s="1">
        <f t="shared" si="0"/>
        <v>415</v>
      </c>
      <c r="I14" s="1">
        <f t="shared" si="1"/>
        <v>73</v>
      </c>
      <c r="J14" s="1">
        <f t="shared" si="2"/>
        <v>87</v>
      </c>
      <c r="K14" s="1">
        <f t="shared" si="3"/>
        <v>95</v>
      </c>
      <c r="L14" s="5" t="str">
        <f t="shared" si="4"/>
        <v>B</v>
      </c>
      <c r="M14" s="4" t="str">
        <f t="shared" si="5"/>
        <v>A</v>
      </c>
      <c r="N14" s="2" t="str">
        <f t="shared" si="6"/>
        <v>S</v>
      </c>
      <c r="O14" s="9" t="str">
        <f>IF(MATCH(N14,{"D","C","B","A","S","S+"},0)&gt;MAX(MATCH(L14,{"D","C","B","A","S","S+"},0),MATCH(M14,{"D","C","B","A","S","S+"},0)),"特",IF(MATCH(L14,{"D","C","B","A","S","S+"},0)&gt;MATCH(M14,{"D","C","B","A","S","S+"},0),"武","文"))</f>
        <v>特</v>
      </c>
      <c r="P14" s="9" t="str">
        <f t="shared" si="7"/>
        <v>文臣</v>
      </c>
    </row>
    <row r="15" spans="1:16">
      <c r="A15" s="1">
        <v>14</v>
      </c>
      <c r="B15" s="1" t="s">
        <v>134</v>
      </c>
      <c r="C15" s="1">
        <v>92</v>
      </c>
      <c r="D15" s="1">
        <v>38</v>
      </c>
      <c r="E15" s="1">
        <v>100</v>
      </c>
      <c r="F15" s="1">
        <v>95</v>
      </c>
      <c r="G15" s="1">
        <v>92</v>
      </c>
      <c r="H15" s="1">
        <f t="shared" si="0"/>
        <v>417</v>
      </c>
      <c r="I15" s="1">
        <f t="shared" si="1"/>
        <v>65</v>
      </c>
      <c r="J15" s="1">
        <f t="shared" si="2"/>
        <v>97.5</v>
      </c>
      <c r="K15" s="1">
        <f t="shared" si="3"/>
        <v>100</v>
      </c>
      <c r="L15" s="6" t="str">
        <f t="shared" si="4"/>
        <v>C</v>
      </c>
      <c r="M15" s="2" t="str">
        <f t="shared" si="5"/>
        <v>S</v>
      </c>
      <c r="N15" s="3" t="str">
        <f t="shared" si="6"/>
        <v>S+</v>
      </c>
      <c r="O15" s="9" t="str">
        <f>IF(MATCH(N15,{"D","C","B","A","S","S+"},0)&gt;MAX(MATCH(L15,{"D","C","B","A","S","S+"},0),MATCH(M15,{"D","C","B","A","S","S+"},0)),"特",IF(MATCH(L15,{"D","C","B","A","S","S+"},0)&gt;MATCH(M15,{"D","C","B","A","S","S+"},0),"武","文"))</f>
        <v>特</v>
      </c>
      <c r="P15" s="9" t="str">
        <f t="shared" si="7"/>
        <v>全能</v>
      </c>
    </row>
    <row r="16" spans="1:16">
      <c r="A16" s="1">
        <v>15</v>
      </c>
      <c r="B16" s="1" t="s">
        <v>135</v>
      </c>
      <c r="C16" s="1">
        <v>91</v>
      </c>
      <c r="D16" s="1">
        <v>89</v>
      </c>
      <c r="E16" s="1">
        <v>90</v>
      </c>
      <c r="F16" s="1">
        <v>72</v>
      </c>
      <c r="G16" s="1">
        <v>69</v>
      </c>
      <c r="H16" s="1">
        <f t="shared" si="0"/>
        <v>411</v>
      </c>
      <c r="I16" s="1">
        <f t="shared" si="1"/>
        <v>90</v>
      </c>
      <c r="J16" s="1">
        <f t="shared" si="2"/>
        <v>81</v>
      </c>
      <c r="K16" s="1">
        <f t="shared" si="3"/>
        <v>91</v>
      </c>
      <c r="L16" s="2" t="str">
        <f t="shared" si="4"/>
        <v>S</v>
      </c>
      <c r="M16" s="4" t="str">
        <f t="shared" si="5"/>
        <v>A</v>
      </c>
      <c r="N16" s="2" t="str">
        <f t="shared" si="6"/>
        <v>S</v>
      </c>
      <c r="O16" s="9" t="str">
        <f>IF(MATCH(N16,{"D","C","B","A","S","S+"},0)&gt;MAX(MATCH(L16,{"D","C","B","A","S","S+"},0),MATCH(M16,{"D","C","B","A","S","S+"},0)),"特",IF(MATCH(L16,{"D","C","B","A","S","S+"},0)&gt;MATCH(M16,{"D","C","B","A","S","S+"},0),"武","文"))</f>
        <v>武</v>
      </c>
      <c r="P16" s="9" t="str">
        <f t="shared" si="7"/>
        <v>文臣</v>
      </c>
    </row>
    <row r="17" spans="1:16">
      <c r="A17" s="1">
        <v>16</v>
      </c>
      <c r="B17" s="1" t="s">
        <v>136</v>
      </c>
      <c r="C17" s="1">
        <v>87</v>
      </c>
      <c r="D17" s="1">
        <v>76</v>
      </c>
      <c r="E17" s="1">
        <v>92</v>
      </c>
      <c r="F17" s="1">
        <v>80</v>
      </c>
      <c r="G17" s="1">
        <v>71</v>
      </c>
      <c r="H17" s="1">
        <f t="shared" si="0"/>
        <v>406</v>
      </c>
      <c r="I17" s="1">
        <f t="shared" si="1"/>
        <v>81.5</v>
      </c>
      <c r="J17" s="1">
        <f t="shared" si="2"/>
        <v>86</v>
      </c>
      <c r="K17" s="1">
        <f t="shared" si="3"/>
        <v>92</v>
      </c>
      <c r="L17" s="4" t="str">
        <f t="shared" si="4"/>
        <v>A</v>
      </c>
      <c r="M17" s="4" t="str">
        <f t="shared" si="5"/>
        <v>A</v>
      </c>
      <c r="N17" s="2" t="str">
        <f t="shared" si="6"/>
        <v>S</v>
      </c>
      <c r="O17" s="9" t="str">
        <f>IF(MATCH(N17,{"D","C","B","A","S","S+"},0)&gt;MAX(MATCH(L17,{"D","C","B","A","S","S+"},0),MATCH(M17,{"D","C","B","A","S","S+"},0)),"特",IF(MATCH(L17,{"D","C","B","A","S","S+"},0)&gt;MATCH(M17,{"D","C","B","A","S","S+"},0),"武","文"))</f>
        <v>特</v>
      </c>
      <c r="P17" s="9" t="str">
        <f t="shared" si="7"/>
        <v>文臣</v>
      </c>
    </row>
    <row r="18" spans="1:16">
      <c r="A18" s="1">
        <v>17</v>
      </c>
      <c r="B18" s="1" t="s">
        <v>137</v>
      </c>
      <c r="C18" s="1">
        <v>76</v>
      </c>
      <c r="D18" s="1">
        <v>70</v>
      </c>
      <c r="E18" s="1">
        <v>86</v>
      </c>
      <c r="F18" s="1">
        <v>87</v>
      </c>
      <c r="G18" s="1">
        <v>84</v>
      </c>
      <c r="H18" s="1">
        <f t="shared" si="0"/>
        <v>403</v>
      </c>
      <c r="I18" s="1">
        <f t="shared" si="1"/>
        <v>73</v>
      </c>
      <c r="J18" s="1">
        <f t="shared" si="2"/>
        <v>86.5</v>
      </c>
      <c r="K18" s="1">
        <f t="shared" si="3"/>
        <v>87</v>
      </c>
      <c r="L18" s="5" t="str">
        <f t="shared" si="4"/>
        <v>B</v>
      </c>
      <c r="M18" s="4" t="str">
        <f t="shared" si="5"/>
        <v>A</v>
      </c>
      <c r="N18" s="4" t="str">
        <f t="shared" si="6"/>
        <v>A</v>
      </c>
      <c r="O18" s="9" t="str">
        <f>IF(MATCH(N18,{"D","C","B","A","S","S+"},0)&gt;MAX(MATCH(L18,{"D","C","B","A","S","S+"},0),MATCH(M18,{"D","C","B","A","S","S+"},0)),"特",IF(MATCH(L18,{"D","C","B","A","S","S+"},0)&gt;MATCH(M18,{"D","C","B","A","S","S+"},0),"武","文"))</f>
        <v>文</v>
      </c>
      <c r="P18" s="9" t="str">
        <f t="shared" si="7"/>
        <v>文臣</v>
      </c>
    </row>
    <row r="19" spans="1:16">
      <c r="A19" s="1">
        <v>18</v>
      </c>
      <c r="B19" s="1" t="s">
        <v>138</v>
      </c>
      <c r="C19" s="1">
        <v>72</v>
      </c>
      <c r="D19" s="1">
        <v>59</v>
      </c>
      <c r="E19" s="1">
        <v>92</v>
      </c>
      <c r="F19" s="1">
        <v>91</v>
      </c>
      <c r="G19" s="1">
        <v>89</v>
      </c>
      <c r="H19" s="1">
        <f t="shared" si="0"/>
        <v>403</v>
      </c>
      <c r="I19" s="1">
        <f t="shared" si="1"/>
        <v>65.5</v>
      </c>
      <c r="J19" s="1">
        <f t="shared" si="2"/>
        <v>91.5</v>
      </c>
      <c r="K19" s="1">
        <f t="shared" si="3"/>
        <v>92</v>
      </c>
      <c r="L19" s="6" t="str">
        <f t="shared" si="4"/>
        <v>C</v>
      </c>
      <c r="M19" s="2" t="str">
        <f t="shared" si="5"/>
        <v>S</v>
      </c>
      <c r="N19" s="2" t="str">
        <f t="shared" si="6"/>
        <v>S</v>
      </c>
      <c r="O19" s="9" t="str">
        <f>IF(MATCH(N19,{"D","C","B","A","S","S+"},0)&gt;MAX(MATCH(L19,{"D","C","B","A","S","S+"},0),MATCH(M19,{"D","C","B","A","S","S+"},0)),"特",IF(MATCH(L19,{"D","C","B","A","S","S+"},0)&gt;MATCH(M19,{"D","C","B","A","S","S+"},0),"武","文"))</f>
        <v>文</v>
      </c>
      <c r="P19" s="9" t="str">
        <f t="shared" si="7"/>
        <v>全能</v>
      </c>
    </row>
    <row r="20" spans="1:16">
      <c r="A20" s="1">
        <v>19</v>
      </c>
      <c r="B20" s="1" t="s">
        <v>139</v>
      </c>
      <c r="C20" s="1">
        <v>80</v>
      </c>
      <c r="D20" s="1">
        <v>73</v>
      </c>
      <c r="E20" s="1">
        <v>74</v>
      </c>
      <c r="F20" s="1">
        <v>76</v>
      </c>
      <c r="G20" s="1">
        <v>99</v>
      </c>
      <c r="H20" s="1">
        <f t="shared" si="0"/>
        <v>402</v>
      </c>
      <c r="I20" s="1">
        <f t="shared" si="1"/>
        <v>76.5</v>
      </c>
      <c r="J20" s="1">
        <f t="shared" si="2"/>
        <v>75</v>
      </c>
      <c r="K20" s="1">
        <f t="shared" si="3"/>
        <v>99</v>
      </c>
      <c r="L20" s="5" t="str">
        <f t="shared" si="4"/>
        <v>B</v>
      </c>
      <c r="M20" s="5" t="str">
        <f t="shared" si="5"/>
        <v>B</v>
      </c>
      <c r="N20" s="2" t="str">
        <f t="shared" si="6"/>
        <v>S</v>
      </c>
      <c r="O20" s="9" t="str">
        <f>IF(MATCH(N20,{"D","C","B","A","S","S+"},0)&gt;MAX(MATCH(L20,{"D","C","B","A","S","S+"},0),MATCH(M20,{"D","C","B","A","S","S+"},0)),"特",IF(MATCH(L20,{"D","C","B","A","S","S+"},0)&gt;MATCH(M20,{"D","C","B","A","S","S+"},0),"武","文"))</f>
        <v>特</v>
      </c>
      <c r="P20" s="9" t="str">
        <f t="shared" si="7"/>
        <v>特才</v>
      </c>
    </row>
    <row r="21" spans="1:16">
      <c r="A21" s="1">
        <v>20</v>
      </c>
      <c r="B21" s="1" t="s">
        <v>140</v>
      </c>
      <c r="C21" s="1">
        <v>91</v>
      </c>
      <c r="D21" s="1">
        <v>96</v>
      </c>
      <c r="E21" s="1">
        <v>76</v>
      </c>
      <c r="F21" s="1">
        <v>65</v>
      </c>
      <c r="G21" s="1">
        <v>81</v>
      </c>
      <c r="H21" s="1">
        <f t="shared" si="0"/>
        <v>409</v>
      </c>
      <c r="I21" s="1">
        <f t="shared" si="1"/>
        <v>93.5</v>
      </c>
      <c r="J21" s="1">
        <f t="shared" si="2"/>
        <v>70.5</v>
      </c>
      <c r="K21" s="1">
        <f t="shared" si="3"/>
        <v>96</v>
      </c>
      <c r="L21" s="2" t="str">
        <f t="shared" si="4"/>
        <v>S</v>
      </c>
      <c r="M21" s="5" t="str">
        <f t="shared" si="5"/>
        <v>B</v>
      </c>
      <c r="N21" s="2" t="str">
        <f t="shared" si="6"/>
        <v>S</v>
      </c>
      <c r="O21" s="9" t="str">
        <f>IF(MATCH(N21,{"D","C","B","A","S","S+"},0)&gt;MAX(MATCH(L21,{"D","C","B","A","S","S+"},0),MATCH(M21,{"D","C","B","A","S","S+"},0)),"特",IF(MATCH(L21,{"D","C","B","A","S","S+"},0)&gt;MATCH(M21,{"D","C","B","A","S","S+"},0),"武","文"))</f>
        <v>武</v>
      </c>
      <c r="P21" s="9" t="str">
        <f t="shared" si="7"/>
        <v>特才</v>
      </c>
    </row>
    <row r="22" spans="1:16">
      <c r="A22" s="1">
        <v>21</v>
      </c>
      <c r="B22" s="1" t="s">
        <v>141</v>
      </c>
      <c r="C22" s="1">
        <v>86</v>
      </c>
      <c r="D22" s="1">
        <v>75</v>
      </c>
      <c r="E22" s="1">
        <v>79</v>
      </c>
      <c r="F22" s="1">
        <v>82</v>
      </c>
      <c r="G22" s="1">
        <v>73</v>
      </c>
      <c r="H22" s="1">
        <f t="shared" si="0"/>
        <v>395</v>
      </c>
      <c r="I22" s="1">
        <f t="shared" si="1"/>
        <v>80.5</v>
      </c>
      <c r="J22" s="1">
        <f t="shared" si="2"/>
        <v>80.5</v>
      </c>
      <c r="K22" s="1">
        <f t="shared" si="3"/>
        <v>86</v>
      </c>
      <c r="L22" s="4" t="str">
        <f t="shared" si="4"/>
        <v>A</v>
      </c>
      <c r="M22" s="4" t="str">
        <f t="shared" si="5"/>
        <v>A</v>
      </c>
      <c r="N22" s="4" t="str">
        <f t="shared" si="6"/>
        <v>A</v>
      </c>
      <c r="O22" s="9" t="str">
        <f>IF(MATCH(N22,{"D","C","B","A","S","S+"},0)&gt;MAX(MATCH(L22,{"D","C","B","A","S","S+"},0),MATCH(M22,{"D","C","B","A","S","S+"},0)),"特",IF(MATCH(L22,{"D","C","B","A","S","S+"},0)&gt;MATCH(M22,{"D","C","B","A","S","S+"},0),"武","文"))</f>
        <v>文</v>
      </c>
      <c r="P22" s="9" t="str">
        <f t="shared" si="7"/>
        <v>文臣</v>
      </c>
    </row>
    <row r="23" spans="1:16">
      <c r="A23" s="1">
        <v>22</v>
      </c>
      <c r="B23" s="1" t="s">
        <v>142</v>
      </c>
      <c r="C23" s="1">
        <v>87</v>
      </c>
      <c r="D23" s="1">
        <v>60</v>
      </c>
      <c r="E23" s="1">
        <v>81</v>
      </c>
      <c r="F23" s="1">
        <v>86</v>
      </c>
      <c r="G23" s="1">
        <v>81</v>
      </c>
      <c r="H23" s="1">
        <f t="shared" si="0"/>
        <v>395</v>
      </c>
      <c r="I23" s="1">
        <f t="shared" si="1"/>
        <v>73.5</v>
      </c>
      <c r="J23" s="1">
        <f t="shared" si="2"/>
        <v>83.5</v>
      </c>
      <c r="K23" s="1">
        <f t="shared" si="3"/>
        <v>87</v>
      </c>
      <c r="L23" s="5" t="str">
        <f t="shared" si="4"/>
        <v>B</v>
      </c>
      <c r="M23" s="4" t="str">
        <f t="shared" si="5"/>
        <v>A</v>
      </c>
      <c r="N23" s="4" t="str">
        <f t="shared" si="6"/>
        <v>A</v>
      </c>
      <c r="O23" s="9" t="str">
        <f>IF(MATCH(N23,{"D","C","B","A","S","S+"},0)&gt;MAX(MATCH(L23,{"D","C","B","A","S","S+"},0),MATCH(M23,{"D","C","B","A","S","S+"},0)),"特",IF(MATCH(L23,{"D","C","B","A","S","S+"},0)&gt;MATCH(M23,{"D","C","B","A","S","S+"},0),"武","文"))</f>
        <v>文</v>
      </c>
      <c r="P23" s="9" t="str">
        <f t="shared" si="7"/>
        <v>文臣</v>
      </c>
    </row>
    <row r="24" spans="1:16">
      <c r="A24" s="1">
        <v>23</v>
      </c>
      <c r="B24" s="1" t="s">
        <v>143</v>
      </c>
      <c r="C24" s="1">
        <v>73</v>
      </c>
      <c r="D24" s="1">
        <v>66</v>
      </c>
      <c r="E24" s="1">
        <v>93</v>
      </c>
      <c r="F24" s="1">
        <v>79</v>
      </c>
      <c r="G24" s="1">
        <v>83</v>
      </c>
      <c r="H24" s="1">
        <f t="shared" si="0"/>
        <v>394</v>
      </c>
      <c r="I24" s="1">
        <f t="shared" si="1"/>
        <v>69.5</v>
      </c>
      <c r="J24" s="1">
        <f t="shared" si="2"/>
        <v>86</v>
      </c>
      <c r="K24" s="1">
        <f t="shared" si="3"/>
        <v>93</v>
      </c>
      <c r="L24" s="6" t="str">
        <f t="shared" si="4"/>
        <v>C</v>
      </c>
      <c r="M24" s="4" t="str">
        <f t="shared" si="5"/>
        <v>A</v>
      </c>
      <c r="N24" s="2" t="str">
        <f t="shared" si="6"/>
        <v>S</v>
      </c>
      <c r="O24" s="9" t="str">
        <f>IF(MATCH(N24,{"D","C","B","A","S","S+"},0)&gt;MAX(MATCH(L24,{"D","C","B","A","S","S+"},0),MATCH(M24,{"D","C","B","A","S","S+"},0)),"特",IF(MATCH(L24,{"D","C","B","A","S","S+"},0)&gt;MATCH(M24,{"D","C","B","A","S","S+"},0),"武","文"))</f>
        <v>特</v>
      </c>
      <c r="P24" s="9" t="str">
        <f t="shared" si="7"/>
        <v>文臣</v>
      </c>
    </row>
    <row r="25" spans="1:16">
      <c r="A25" s="1">
        <v>24</v>
      </c>
      <c r="B25" s="1" t="s">
        <v>144</v>
      </c>
      <c r="C25" s="1">
        <v>80</v>
      </c>
      <c r="D25" s="1">
        <v>69</v>
      </c>
      <c r="E25" s="1">
        <v>76</v>
      </c>
      <c r="F25" s="1">
        <v>77</v>
      </c>
      <c r="G25" s="1">
        <v>91</v>
      </c>
      <c r="H25" s="1">
        <f t="shared" si="0"/>
        <v>393</v>
      </c>
      <c r="I25" s="1">
        <f t="shared" si="1"/>
        <v>74.5</v>
      </c>
      <c r="J25" s="1">
        <f t="shared" si="2"/>
        <v>76.5</v>
      </c>
      <c r="K25" s="1">
        <f t="shared" si="3"/>
        <v>91</v>
      </c>
      <c r="L25" s="5" t="str">
        <f t="shared" si="4"/>
        <v>B</v>
      </c>
      <c r="M25" s="5" t="str">
        <f t="shared" si="5"/>
        <v>B</v>
      </c>
      <c r="N25" s="2" t="str">
        <f t="shared" si="6"/>
        <v>S</v>
      </c>
      <c r="O25" s="9" t="str">
        <f>IF(MATCH(N25,{"D","C","B","A","S","S+"},0)&gt;MAX(MATCH(L25,{"D","C","B","A","S","S+"},0),MATCH(M25,{"D","C","B","A","S","S+"},0)),"特",IF(MATCH(L25,{"D","C","B","A","S","S+"},0)&gt;MATCH(M25,{"D","C","B","A","S","S+"},0),"武","文"))</f>
        <v>特</v>
      </c>
      <c r="P25" s="9" t="str">
        <f t="shared" si="7"/>
        <v>特才</v>
      </c>
    </row>
    <row r="26" spans="1:16">
      <c r="A26" s="1">
        <v>25</v>
      </c>
      <c r="B26" s="1" t="s">
        <v>145</v>
      </c>
      <c r="C26" s="1">
        <v>85</v>
      </c>
      <c r="D26" s="1">
        <v>73</v>
      </c>
      <c r="E26" s="1">
        <v>85</v>
      </c>
      <c r="F26" s="1">
        <v>75</v>
      </c>
      <c r="G26" s="1">
        <v>75</v>
      </c>
      <c r="H26" s="1">
        <f t="shared" si="0"/>
        <v>393</v>
      </c>
      <c r="I26" s="1">
        <f t="shared" si="1"/>
        <v>79</v>
      </c>
      <c r="J26" s="1">
        <f t="shared" si="2"/>
        <v>80</v>
      </c>
      <c r="K26" s="1">
        <f t="shared" si="3"/>
        <v>85</v>
      </c>
      <c r="L26" s="5" t="str">
        <f t="shared" si="4"/>
        <v>B</v>
      </c>
      <c r="M26" s="4" t="str">
        <f t="shared" si="5"/>
        <v>A</v>
      </c>
      <c r="N26" s="4" t="str">
        <f t="shared" si="6"/>
        <v>A</v>
      </c>
      <c r="O26" s="9" t="str">
        <f>IF(MATCH(N26,{"D","C","B","A","S","S+"},0)&gt;MAX(MATCH(L26,{"D","C","B","A","S","S+"},0),MATCH(M26,{"D","C","B","A","S","S+"},0)),"特",IF(MATCH(L26,{"D","C","B","A","S","S+"},0)&gt;MATCH(M26,{"D","C","B","A","S","S+"},0),"武","文"))</f>
        <v>文</v>
      </c>
      <c r="P26" s="9" t="str">
        <f t="shared" si="7"/>
        <v>文臣</v>
      </c>
    </row>
    <row r="27" spans="1:16">
      <c r="A27" s="1">
        <v>26</v>
      </c>
      <c r="B27" s="1" t="s">
        <v>146</v>
      </c>
      <c r="C27" s="1">
        <v>79</v>
      </c>
      <c r="D27" s="1">
        <v>68</v>
      </c>
      <c r="E27" s="1">
        <v>94</v>
      </c>
      <c r="F27" s="1">
        <v>80</v>
      </c>
      <c r="G27" s="1">
        <v>70</v>
      </c>
      <c r="H27" s="1">
        <f t="shared" si="0"/>
        <v>391</v>
      </c>
      <c r="I27" s="1">
        <f t="shared" si="1"/>
        <v>73.5</v>
      </c>
      <c r="J27" s="1">
        <f t="shared" si="2"/>
        <v>87</v>
      </c>
      <c r="K27" s="1">
        <f t="shared" si="3"/>
        <v>94</v>
      </c>
      <c r="L27" s="5" t="str">
        <f t="shared" si="4"/>
        <v>B</v>
      </c>
      <c r="M27" s="4" t="str">
        <f t="shared" si="5"/>
        <v>A</v>
      </c>
      <c r="N27" s="2" t="str">
        <f t="shared" si="6"/>
        <v>S</v>
      </c>
      <c r="O27" s="9" t="str">
        <f>IF(MATCH(N27,{"D","C","B","A","S","S+"},0)&gt;MAX(MATCH(L27,{"D","C","B","A","S","S+"},0),MATCH(M27,{"D","C","B","A","S","S+"},0)),"特",IF(MATCH(L27,{"D","C","B","A","S","S+"},0)&gt;MATCH(M27,{"D","C","B","A","S","S+"},0),"武","文"))</f>
        <v>特</v>
      </c>
      <c r="P27" s="9" t="str">
        <f t="shared" si="7"/>
        <v>文臣</v>
      </c>
    </row>
    <row r="28" spans="1:16">
      <c r="A28" s="1">
        <v>27</v>
      </c>
      <c r="B28" s="1" t="s">
        <v>147</v>
      </c>
      <c r="C28" s="1">
        <v>78</v>
      </c>
      <c r="D28" s="1">
        <v>52</v>
      </c>
      <c r="E28" s="1">
        <v>97</v>
      </c>
      <c r="F28" s="1">
        <v>78</v>
      </c>
      <c r="G28" s="1">
        <v>82</v>
      </c>
      <c r="H28" s="1">
        <f t="shared" si="0"/>
        <v>387</v>
      </c>
      <c r="I28" s="1">
        <f t="shared" si="1"/>
        <v>65</v>
      </c>
      <c r="J28" s="1">
        <f t="shared" si="2"/>
        <v>87.5</v>
      </c>
      <c r="K28" s="1">
        <f t="shared" si="3"/>
        <v>97</v>
      </c>
      <c r="L28" s="6" t="str">
        <f t="shared" si="4"/>
        <v>C</v>
      </c>
      <c r="M28" s="4" t="str">
        <f t="shared" si="5"/>
        <v>A</v>
      </c>
      <c r="N28" s="2" t="str">
        <f t="shared" si="6"/>
        <v>S</v>
      </c>
      <c r="O28" s="9" t="str">
        <f>IF(MATCH(N28,{"D","C","B","A","S","S+"},0)&gt;MAX(MATCH(L28,{"D","C","B","A","S","S+"},0),MATCH(M28,{"D","C","B","A","S","S+"},0)),"特",IF(MATCH(L28,{"D","C","B","A","S","S+"},0)&gt;MATCH(M28,{"D","C","B","A","S","S+"},0),"武","文"))</f>
        <v>特</v>
      </c>
      <c r="P28" s="9" t="str">
        <f t="shared" si="7"/>
        <v>文臣</v>
      </c>
    </row>
    <row r="29" spans="1:16">
      <c r="A29" s="1">
        <v>28</v>
      </c>
      <c r="B29" s="1" t="s">
        <v>148</v>
      </c>
      <c r="C29" s="1">
        <v>78</v>
      </c>
      <c r="D29" s="1">
        <v>68</v>
      </c>
      <c r="E29" s="1">
        <v>89</v>
      </c>
      <c r="F29" s="1">
        <v>72</v>
      </c>
      <c r="G29" s="1">
        <v>80</v>
      </c>
      <c r="H29" s="1">
        <f t="shared" si="0"/>
        <v>387</v>
      </c>
      <c r="I29" s="1">
        <f t="shared" si="1"/>
        <v>73</v>
      </c>
      <c r="J29" s="1">
        <f t="shared" si="2"/>
        <v>80.5</v>
      </c>
      <c r="K29" s="1">
        <f t="shared" si="3"/>
        <v>89</v>
      </c>
      <c r="L29" s="5" t="str">
        <f t="shared" si="4"/>
        <v>B</v>
      </c>
      <c r="M29" s="4" t="str">
        <f t="shared" si="5"/>
        <v>A</v>
      </c>
      <c r="N29" s="4" t="str">
        <f t="shared" si="6"/>
        <v>A</v>
      </c>
      <c r="O29" s="9" t="str">
        <f>IF(MATCH(N29,{"D","C","B","A","S","S+"},0)&gt;MAX(MATCH(L29,{"D","C","B","A","S","S+"},0),MATCH(M29,{"D","C","B","A","S","S+"},0)),"特",IF(MATCH(L29,{"D","C","B","A","S","S+"},0)&gt;MATCH(M29,{"D","C","B","A","S","S+"},0),"武","文"))</f>
        <v>文</v>
      </c>
      <c r="P29" s="9" t="str">
        <f t="shared" si="7"/>
        <v>文臣</v>
      </c>
    </row>
    <row r="30" spans="1:16">
      <c r="A30" s="1">
        <v>29</v>
      </c>
      <c r="B30" s="1" t="s">
        <v>149</v>
      </c>
      <c r="C30" s="1">
        <v>84</v>
      </c>
      <c r="D30" s="1">
        <v>81</v>
      </c>
      <c r="E30" s="1">
        <v>77</v>
      </c>
      <c r="F30" s="1">
        <v>72</v>
      </c>
      <c r="G30" s="1">
        <v>73</v>
      </c>
      <c r="H30" s="1">
        <f t="shared" si="0"/>
        <v>387</v>
      </c>
      <c r="I30" s="1">
        <f t="shared" si="1"/>
        <v>82.5</v>
      </c>
      <c r="J30" s="1">
        <f t="shared" si="2"/>
        <v>74.5</v>
      </c>
      <c r="K30" s="1">
        <f t="shared" si="3"/>
        <v>84</v>
      </c>
      <c r="L30" s="4" t="str">
        <f t="shared" si="4"/>
        <v>A</v>
      </c>
      <c r="M30" s="5" t="str">
        <f t="shared" si="5"/>
        <v>B</v>
      </c>
      <c r="N30" s="4" t="str">
        <f t="shared" si="6"/>
        <v>A</v>
      </c>
      <c r="O30" s="9" t="str">
        <f>IF(MATCH(N30,{"D","C","B","A","S","S+"},0)&gt;MAX(MATCH(L30,{"D","C","B","A","S","S+"},0),MATCH(M30,{"D","C","B","A","S","S+"},0)),"特",IF(MATCH(L30,{"D","C","B","A","S","S+"},0)&gt;MATCH(M30,{"D","C","B","A","S","S+"},0),"武","文"))</f>
        <v>武</v>
      </c>
      <c r="P30" s="9" t="str">
        <f t="shared" si="7"/>
        <v>特才</v>
      </c>
    </row>
    <row r="31" spans="1:16">
      <c r="A31" s="1">
        <v>30</v>
      </c>
      <c r="B31" s="1" t="s">
        <v>150</v>
      </c>
      <c r="C31" s="1">
        <v>67</v>
      </c>
      <c r="D31" s="1">
        <v>52</v>
      </c>
      <c r="E31" s="1">
        <v>89</v>
      </c>
      <c r="F31" s="1">
        <v>94</v>
      </c>
      <c r="G31" s="1">
        <v>86</v>
      </c>
      <c r="H31" s="1">
        <f t="shared" si="0"/>
        <v>388</v>
      </c>
      <c r="I31" s="1">
        <f t="shared" si="1"/>
        <v>59.5</v>
      </c>
      <c r="J31" s="1">
        <f t="shared" si="2"/>
        <v>91.5</v>
      </c>
      <c r="K31" s="1">
        <f t="shared" si="3"/>
        <v>94</v>
      </c>
      <c r="L31" s="7" t="str">
        <f t="shared" si="4"/>
        <v>D</v>
      </c>
      <c r="M31" s="2" t="str">
        <f t="shared" si="5"/>
        <v>S</v>
      </c>
      <c r="N31" s="2" t="str">
        <f t="shared" si="6"/>
        <v>S</v>
      </c>
      <c r="O31" s="9" t="str">
        <f>IF(MATCH(N31,{"D","C","B","A","S","S+"},0)&gt;MAX(MATCH(L31,{"D","C","B","A","S","S+"},0),MATCH(M31,{"D","C","B","A","S","S+"},0)),"特",IF(MATCH(L31,{"D","C","B","A","S","S+"},0)&gt;MATCH(M31,{"D","C","B","A","S","S+"},0),"武","文"))</f>
        <v>文</v>
      </c>
      <c r="P31" s="9" t="str">
        <f t="shared" si="7"/>
        <v>全能</v>
      </c>
    </row>
    <row r="32" spans="1:16">
      <c r="A32" s="1">
        <v>31</v>
      </c>
      <c r="B32" s="1" t="s">
        <v>151</v>
      </c>
      <c r="C32" s="1">
        <v>87</v>
      </c>
      <c r="D32" s="1">
        <v>83</v>
      </c>
      <c r="E32" s="1">
        <v>72</v>
      </c>
      <c r="F32" s="1">
        <v>65</v>
      </c>
      <c r="G32" s="1">
        <v>79</v>
      </c>
      <c r="H32" s="1">
        <f t="shared" si="0"/>
        <v>386</v>
      </c>
      <c r="I32" s="1">
        <f t="shared" si="1"/>
        <v>85</v>
      </c>
      <c r="J32" s="1">
        <f t="shared" si="2"/>
        <v>68.5</v>
      </c>
      <c r="K32" s="1">
        <f t="shared" si="3"/>
        <v>87</v>
      </c>
      <c r="L32" s="4" t="str">
        <f t="shared" si="4"/>
        <v>A</v>
      </c>
      <c r="M32" s="6" t="str">
        <f t="shared" si="5"/>
        <v>C</v>
      </c>
      <c r="N32" s="4" t="str">
        <f t="shared" si="6"/>
        <v>A</v>
      </c>
      <c r="O32" s="9" t="str">
        <f>IF(MATCH(N32,{"D","C","B","A","S","S+"},0)&gt;MAX(MATCH(L32,{"D","C","B","A","S","S+"},0),MATCH(M32,{"D","C","B","A","S","S+"},0)),"特",IF(MATCH(L32,{"D","C","B","A","S","S+"},0)&gt;MATCH(M32,{"D","C","B","A","S","S+"},0),"武","文"))</f>
        <v>武</v>
      </c>
      <c r="P32" s="9" t="str">
        <f t="shared" si="7"/>
        <v>特才</v>
      </c>
    </row>
    <row r="33" spans="1:16">
      <c r="A33" s="1">
        <v>32</v>
      </c>
      <c r="B33" s="1" t="s">
        <v>152</v>
      </c>
      <c r="C33" s="1">
        <v>86</v>
      </c>
      <c r="D33" s="1">
        <v>78</v>
      </c>
      <c r="E33" s="1">
        <v>76</v>
      </c>
      <c r="F33" s="1">
        <v>69</v>
      </c>
      <c r="G33" s="1">
        <v>75</v>
      </c>
      <c r="H33" s="1">
        <f t="shared" si="0"/>
        <v>384</v>
      </c>
      <c r="I33" s="1">
        <f t="shared" si="1"/>
        <v>82</v>
      </c>
      <c r="J33" s="1">
        <f t="shared" si="2"/>
        <v>72.5</v>
      </c>
      <c r="K33" s="1">
        <f t="shared" si="3"/>
        <v>86</v>
      </c>
      <c r="L33" s="4" t="str">
        <f t="shared" si="4"/>
        <v>A</v>
      </c>
      <c r="M33" s="5" t="str">
        <f t="shared" si="5"/>
        <v>B</v>
      </c>
      <c r="N33" s="4" t="str">
        <f t="shared" si="6"/>
        <v>A</v>
      </c>
      <c r="O33" s="9" t="str">
        <f>IF(MATCH(N33,{"D","C","B","A","S","S+"},0)&gt;MAX(MATCH(L33,{"D","C","B","A","S","S+"},0),MATCH(M33,{"D","C","B","A","S","S+"},0)),"特",IF(MATCH(L33,{"D","C","B","A","S","S+"},0)&gt;MATCH(M33,{"D","C","B","A","S","S+"},0),"武","文"))</f>
        <v>武</v>
      </c>
      <c r="P33" s="9" t="str">
        <f t="shared" si="7"/>
        <v>特才</v>
      </c>
    </row>
    <row r="34" spans="1:16">
      <c r="A34" s="1">
        <v>33</v>
      </c>
      <c r="B34" s="1" t="s">
        <v>153</v>
      </c>
      <c r="C34" s="1">
        <v>82</v>
      </c>
      <c r="D34" s="1">
        <v>78</v>
      </c>
      <c r="E34" s="1">
        <v>73</v>
      </c>
      <c r="F34" s="1">
        <v>69</v>
      </c>
      <c r="G34" s="1">
        <v>75</v>
      </c>
      <c r="H34" s="1">
        <f t="shared" si="0"/>
        <v>377</v>
      </c>
      <c r="I34" s="1">
        <f t="shared" si="1"/>
        <v>80</v>
      </c>
      <c r="J34" s="1">
        <f t="shared" si="2"/>
        <v>71</v>
      </c>
      <c r="K34" s="1">
        <f t="shared" si="3"/>
        <v>82</v>
      </c>
      <c r="L34" s="4" t="str">
        <f t="shared" si="4"/>
        <v>A</v>
      </c>
      <c r="M34" s="5" t="str">
        <f t="shared" si="5"/>
        <v>B</v>
      </c>
      <c r="N34" s="4" t="str">
        <f t="shared" si="6"/>
        <v>A</v>
      </c>
      <c r="O34" s="9" t="str">
        <f>IF(MATCH(N34,{"D","C","B","A","S","S+"},0)&gt;MAX(MATCH(L34,{"D","C","B","A","S","S+"},0),MATCH(M34,{"D","C","B","A","S","S+"},0)),"特",IF(MATCH(L34,{"D","C","B","A","S","S+"},0)&gt;MATCH(M34,{"D","C","B","A","S","S+"},0),"武","文"))</f>
        <v>武</v>
      </c>
      <c r="P34" s="9" t="str">
        <f t="shared" si="7"/>
        <v>特才</v>
      </c>
    </row>
    <row r="35" spans="1:16">
      <c r="A35" s="1">
        <v>34</v>
      </c>
      <c r="B35" s="1" t="s">
        <v>154</v>
      </c>
      <c r="C35" s="1">
        <v>85</v>
      </c>
      <c r="D35" s="1">
        <v>79</v>
      </c>
      <c r="E35" s="1">
        <v>78</v>
      </c>
      <c r="F35" s="1">
        <v>62</v>
      </c>
      <c r="G35" s="1">
        <v>72</v>
      </c>
      <c r="H35" s="1">
        <f t="shared" si="0"/>
        <v>376</v>
      </c>
      <c r="I35" s="1">
        <f t="shared" si="1"/>
        <v>82</v>
      </c>
      <c r="J35" s="1">
        <f t="shared" si="2"/>
        <v>70</v>
      </c>
      <c r="K35" s="1">
        <f t="shared" si="3"/>
        <v>85</v>
      </c>
      <c r="L35" s="4" t="str">
        <f t="shared" si="4"/>
        <v>A</v>
      </c>
      <c r="M35" s="5" t="str">
        <f t="shared" si="5"/>
        <v>B</v>
      </c>
      <c r="N35" s="4" t="str">
        <f t="shared" si="6"/>
        <v>A</v>
      </c>
      <c r="O35" s="9" t="str">
        <f>IF(MATCH(N35,{"D","C","B","A","S","S+"},0)&gt;MAX(MATCH(L35,{"D","C","B","A","S","S+"},0),MATCH(M35,{"D","C","B","A","S","S+"},0)),"特",IF(MATCH(L35,{"D","C","B","A","S","S+"},0)&gt;MATCH(M35,{"D","C","B","A","S","S+"},0),"武","文"))</f>
        <v>武</v>
      </c>
      <c r="P35" s="9" t="str">
        <f t="shared" si="7"/>
        <v>特才</v>
      </c>
    </row>
    <row r="36" spans="1:16">
      <c r="A36" s="1">
        <v>35</v>
      </c>
      <c r="B36" s="1" t="s">
        <v>155</v>
      </c>
      <c r="C36" s="1">
        <v>83</v>
      </c>
      <c r="D36" s="1">
        <v>77</v>
      </c>
      <c r="E36" s="1">
        <v>75</v>
      </c>
      <c r="F36" s="1">
        <v>68</v>
      </c>
      <c r="G36" s="1">
        <v>73</v>
      </c>
      <c r="H36" s="1">
        <f t="shared" si="0"/>
        <v>376</v>
      </c>
      <c r="I36" s="1">
        <f t="shared" si="1"/>
        <v>80</v>
      </c>
      <c r="J36" s="1">
        <f t="shared" si="2"/>
        <v>71.5</v>
      </c>
      <c r="K36" s="1">
        <f t="shared" si="3"/>
        <v>83</v>
      </c>
      <c r="L36" s="4" t="str">
        <f t="shared" si="4"/>
        <v>A</v>
      </c>
      <c r="M36" s="5" t="str">
        <f t="shared" si="5"/>
        <v>B</v>
      </c>
      <c r="N36" s="4" t="str">
        <f t="shared" si="6"/>
        <v>A</v>
      </c>
      <c r="O36" s="9" t="str">
        <f>IF(MATCH(N36,{"D","C","B","A","S","S+"},0)&gt;MAX(MATCH(L36,{"D","C","B","A","S","S+"},0),MATCH(M36,{"D","C","B","A","S","S+"},0)),"特",IF(MATCH(L36,{"D","C","B","A","S","S+"},0)&gt;MATCH(M36,{"D","C","B","A","S","S+"},0),"武","文"))</f>
        <v>武</v>
      </c>
      <c r="P36" s="9" t="str">
        <f t="shared" si="7"/>
        <v>特才</v>
      </c>
    </row>
    <row r="37" spans="1:16">
      <c r="A37" s="1">
        <v>36</v>
      </c>
      <c r="B37" s="1" t="s">
        <v>156</v>
      </c>
      <c r="C37" s="1">
        <v>70</v>
      </c>
      <c r="D37" s="1">
        <v>62</v>
      </c>
      <c r="E37" s="1">
        <v>93</v>
      </c>
      <c r="F37" s="1">
        <v>82</v>
      </c>
      <c r="G37" s="1">
        <v>68</v>
      </c>
      <c r="H37" s="1">
        <f t="shared" si="0"/>
        <v>375</v>
      </c>
      <c r="I37" s="1">
        <f t="shared" si="1"/>
        <v>66</v>
      </c>
      <c r="J37" s="1">
        <f t="shared" si="2"/>
        <v>87.5</v>
      </c>
      <c r="K37" s="1">
        <f t="shared" si="3"/>
        <v>93</v>
      </c>
      <c r="L37" s="6" t="str">
        <f t="shared" si="4"/>
        <v>C</v>
      </c>
      <c r="M37" s="4" t="str">
        <f t="shared" si="5"/>
        <v>A</v>
      </c>
      <c r="N37" s="2" t="str">
        <f t="shared" si="6"/>
        <v>S</v>
      </c>
      <c r="O37" s="9" t="str">
        <f>IF(MATCH(N37,{"D","C","B","A","S","S+"},0)&gt;MAX(MATCH(L37,{"D","C","B","A","S","S+"},0),MATCH(M37,{"D","C","B","A","S","S+"},0)),"特",IF(MATCH(L37,{"D","C","B","A","S","S+"},0)&gt;MATCH(M37,{"D","C","B","A","S","S+"},0),"武","文"))</f>
        <v>特</v>
      </c>
      <c r="P37" s="9" t="str">
        <f t="shared" si="7"/>
        <v>文臣</v>
      </c>
    </row>
    <row r="38" spans="1:16">
      <c r="A38" s="1">
        <v>37</v>
      </c>
      <c r="B38" s="1" t="s">
        <v>157</v>
      </c>
      <c r="C38" s="1">
        <v>86</v>
      </c>
      <c r="D38" s="1">
        <v>93</v>
      </c>
      <c r="E38" s="1">
        <v>67</v>
      </c>
      <c r="F38" s="1">
        <v>51</v>
      </c>
      <c r="G38" s="1">
        <v>78</v>
      </c>
      <c r="H38" s="1">
        <f t="shared" si="0"/>
        <v>375</v>
      </c>
      <c r="I38" s="1">
        <f t="shared" si="1"/>
        <v>89.5</v>
      </c>
      <c r="J38" s="1">
        <f t="shared" si="2"/>
        <v>59</v>
      </c>
      <c r="K38" s="1">
        <f t="shared" si="3"/>
        <v>93</v>
      </c>
      <c r="L38" s="4" t="str">
        <f t="shared" si="4"/>
        <v>A</v>
      </c>
      <c r="M38" s="7" t="str">
        <f t="shared" si="5"/>
        <v>D</v>
      </c>
      <c r="N38" s="2" t="str">
        <f t="shared" si="6"/>
        <v>S</v>
      </c>
      <c r="O38" s="9" t="str">
        <f>IF(MATCH(N38,{"D","C","B","A","S","S+"},0)&gt;MAX(MATCH(L38,{"D","C","B","A","S","S+"},0),MATCH(M38,{"D","C","B","A","S","S+"},0)),"特",IF(MATCH(L38,{"D","C","B","A","S","S+"},0)&gt;MATCH(M38,{"D","C","B","A","S","S+"},0),"武","文"))</f>
        <v>特</v>
      </c>
      <c r="P38" s="9" t="str">
        <f t="shared" si="7"/>
        <v>特才</v>
      </c>
    </row>
    <row r="39" spans="1:16">
      <c r="A39" s="1">
        <v>38</v>
      </c>
      <c r="B39" s="1" t="s">
        <v>158</v>
      </c>
      <c r="C39" s="1">
        <v>89</v>
      </c>
      <c r="D39" s="1">
        <v>90</v>
      </c>
      <c r="E39" s="1">
        <v>65</v>
      </c>
      <c r="F39" s="1">
        <v>55</v>
      </c>
      <c r="G39" s="1">
        <v>72</v>
      </c>
      <c r="H39" s="1">
        <f t="shared" si="0"/>
        <v>371</v>
      </c>
      <c r="I39" s="1">
        <f t="shared" si="1"/>
        <v>89.5</v>
      </c>
      <c r="J39" s="1">
        <f t="shared" si="2"/>
        <v>60</v>
      </c>
      <c r="K39" s="1">
        <f t="shared" si="3"/>
        <v>90</v>
      </c>
      <c r="L39" s="4" t="str">
        <f t="shared" si="4"/>
        <v>A</v>
      </c>
      <c r="M39" s="6" t="str">
        <f t="shared" si="5"/>
        <v>C</v>
      </c>
      <c r="N39" s="2" t="str">
        <f t="shared" si="6"/>
        <v>S</v>
      </c>
      <c r="O39" s="9" t="str">
        <f>IF(MATCH(N39,{"D","C","B","A","S","S+"},0)&gt;MAX(MATCH(L39,{"D","C","B","A","S","S+"},0),MATCH(M39,{"D","C","B","A","S","S+"},0)),"特",IF(MATCH(L39,{"D","C","B","A","S","S+"},0)&gt;MATCH(M39,{"D","C","B","A","S","S+"},0),"武","文"))</f>
        <v>特</v>
      </c>
      <c r="P39" s="9" t="str">
        <f t="shared" si="7"/>
        <v>特才</v>
      </c>
    </row>
    <row r="40" spans="1:16">
      <c r="A40" s="1">
        <v>39</v>
      </c>
      <c r="B40" s="1" t="s">
        <v>159</v>
      </c>
      <c r="C40" s="1">
        <v>82</v>
      </c>
      <c r="D40" s="1">
        <v>85</v>
      </c>
      <c r="E40" s="1">
        <v>73</v>
      </c>
      <c r="F40" s="1">
        <v>61</v>
      </c>
      <c r="G40" s="1">
        <v>70</v>
      </c>
      <c r="H40" s="1">
        <f t="shared" si="0"/>
        <v>371</v>
      </c>
      <c r="I40" s="1">
        <f t="shared" si="1"/>
        <v>83.5</v>
      </c>
      <c r="J40" s="1">
        <f t="shared" si="2"/>
        <v>67</v>
      </c>
      <c r="K40" s="1">
        <f t="shared" si="3"/>
        <v>85</v>
      </c>
      <c r="L40" s="4" t="str">
        <f t="shared" si="4"/>
        <v>A</v>
      </c>
      <c r="M40" s="6" t="str">
        <f t="shared" si="5"/>
        <v>C</v>
      </c>
      <c r="N40" s="4" t="str">
        <f t="shared" si="6"/>
        <v>A</v>
      </c>
      <c r="O40" s="9" t="str">
        <f>IF(MATCH(N40,{"D","C","B","A","S","S+"},0)&gt;MAX(MATCH(L40,{"D","C","B","A","S","S+"},0),MATCH(M40,{"D","C","B","A","S","S+"},0)),"特",IF(MATCH(L40,{"D","C","B","A","S","S+"},0)&gt;MATCH(M40,{"D","C","B","A","S","S+"},0),"武","文"))</f>
        <v>武</v>
      </c>
      <c r="P40" s="9" t="str">
        <f t="shared" si="7"/>
        <v>特才</v>
      </c>
    </row>
    <row r="41" spans="1:16">
      <c r="A41" s="1">
        <v>40</v>
      </c>
      <c r="B41" s="1" t="s">
        <v>160</v>
      </c>
      <c r="C41" s="1">
        <v>88</v>
      </c>
      <c r="D41" s="1">
        <v>86</v>
      </c>
      <c r="E41" s="1">
        <v>71</v>
      </c>
      <c r="F41" s="1">
        <v>55</v>
      </c>
      <c r="G41" s="1">
        <v>70</v>
      </c>
      <c r="H41" s="1">
        <f t="shared" si="0"/>
        <v>370</v>
      </c>
      <c r="I41" s="1">
        <f t="shared" si="1"/>
        <v>87</v>
      </c>
      <c r="J41" s="1">
        <f t="shared" si="2"/>
        <v>63</v>
      </c>
      <c r="K41" s="1">
        <f t="shared" si="3"/>
        <v>88</v>
      </c>
      <c r="L41" s="4" t="str">
        <f t="shared" si="4"/>
        <v>A</v>
      </c>
      <c r="M41" s="6" t="str">
        <f t="shared" si="5"/>
        <v>C</v>
      </c>
      <c r="N41" s="4" t="str">
        <f t="shared" si="6"/>
        <v>A</v>
      </c>
      <c r="O41" s="9" t="str">
        <f>IF(MATCH(N41,{"D","C","B","A","S","S+"},0)&gt;MAX(MATCH(L41,{"D","C","B","A","S","S+"},0),MATCH(M41,{"D","C","B","A","S","S+"},0)),"特",IF(MATCH(L41,{"D","C","B","A","S","S+"},0)&gt;MATCH(M41,{"D","C","B","A","S","S+"},0),"武","文"))</f>
        <v>武</v>
      </c>
      <c r="P41" s="9" t="str">
        <f t="shared" si="7"/>
        <v>特才</v>
      </c>
    </row>
    <row r="42" spans="1:16">
      <c r="A42" s="1">
        <v>41</v>
      </c>
      <c r="B42" s="1" t="s">
        <v>161</v>
      </c>
      <c r="C42" s="1">
        <v>90</v>
      </c>
      <c r="D42" s="1">
        <v>90</v>
      </c>
      <c r="E42" s="1">
        <v>68</v>
      </c>
      <c r="F42" s="1">
        <v>54</v>
      </c>
      <c r="G42" s="1">
        <v>67</v>
      </c>
      <c r="H42" s="1">
        <f t="shared" si="0"/>
        <v>369</v>
      </c>
      <c r="I42" s="1">
        <f t="shared" si="1"/>
        <v>90</v>
      </c>
      <c r="J42" s="1">
        <f t="shared" si="2"/>
        <v>61</v>
      </c>
      <c r="K42" s="1">
        <f t="shared" si="3"/>
        <v>90</v>
      </c>
      <c r="L42" s="2" t="str">
        <f t="shared" si="4"/>
        <v>S</v>
      </c>
      <c r="M42" s="6" t="str">
        <f t="shared" si="5"/>
        <v>C</v>
      </c>
      <c r="N42" s="2" t="str">
        <f t="shared" si="6"/>
        <v>S</v>
      </c>
      <c r="O42" s="9" t="str">
        <f>IF(MATCH(N42,{"D","C","B","A","S","S+"},0)&gt;MAX(MATCH(L42,{"D","C","B","A","S","S+"},0),MATCH(M42,{"D","C","B","A","S","S+"},0)),"特",IF(MATCH(L42,{"D","C","B","A","S","S+"},0)&gt;MATCH(M42,{"D","C","B","A","S","S+"},0),"武","文"))</f>
        <v>武</v>
      </c>
      <c r="P42" s="9" t="str">
        <f t="shared" si="7"/>
        <v>特才</v>
      </c>
    </row>
    <row r="43" spans="1:16">
      <c r="A43" s="1">
        <v>42</v>
      </c>
      <c r="B43" s="1" t="s">
        <v>162</v>
      </c>
      <c r="C43" s="1">
        <v>87</v>
      </c>
      <c r="D43" s="1">
        <v>93</v>
      </c>
      <c r="E43" s="1">
        <v>63</v>
      </c>
      <c r="F43" s="1">
        <v>52</v>
      </c>
      <c r="G43" s="1">
        <v>74</v>
      </c>
      <c r="H43" s="1">
        <f t="shared" si="0"/>
        <v>369</v>
      </c>
      <c r="I43" s="1">
        <f t="shared" si="1"/>
        <v>90</v>
      </c>
      <c r="J43" s="1">
        <f t="shared" si="2"/>
        <v>57.5</v>
      </c>
      <c r="K43" s="1">
        <f t="shared" si="3"/>
        <v>93</v>
      </c>
      <c r="L43" s="2" t="str">
        <f t="shared" si="4"/>
        <v>S</v>
      </c>
      <c r="M43" s="7" t="str">
        <f t="shared" si="5"/>
        <v>D</v>
      </c>
      <c r="N43" s="2" t="str">
        <f t="shared" si="6"/>
        <v>S</v>
      </c>
      <c r="O43" s="9" t="str">
        <f>IF(MATCH(N43,{"D","C","B","A","S","S+"},0)&gt;MAX(MATCH(L43,{"D","C","B","A","S","S+"},0),MATCH(M43,{"D","C","B","A","S","S+"},0)),"特",IF(MATCH(L43,{"D","C","B","A","S","S+"},0)&gt;MATCH(M43,{"D","C","B","A","S","S+"},0),"武","文"))</f>
        <v>武</v>
      </c>
      <c r="P43" s="9" t="str">
        <f t="shared" si="7"/>
        <v>特才</v>
      </c>
    </row>
    <row r="44" spans="1:16">
      <c r="A44" s="1">
        <v>43</v>
      </c>
      <c r="B44" s="1" t="s">
        <v>163</v>
      </c>
      <c r="C44" s="1">
        <v>85</v>
      </c>
      <c r="D44" s="1">
        <v>85</v>
      </c>
      <c r="E44" s="1">
        <v>66</v>
      </c>
      <c r="F44" s="1">
        <v>57</v>
      </c>
      <c r="G44" s="1">
        <v>74</v>
      </c>
      <c r="H44" s="1">
        <f t="shared" si="0"/>
        <v>367</v>
      </c>
      <c r="I44" s="1">
        <f t="shared" si="1"/>
        <v>85</v>
      </c>
      <c r="J44" s="1">
        <f t="shared" si="2"/>
        <v>61.5</v>
      </c>
      <c r="K44" s="1">
        <f t="shared" si="3"/>
        <v>85</v>
      </c>
      <c r="L44" s="4" t="str">
        <f t="shared" si="4"/>
        <v>A</v>
      </c>
      <c r="M44" s="6" t="str">
        <f t="shared" si="5"/>
        <v>C</v>
      </c>
      <c r="N44" s="4" t="str">
        <f t="shared" si="6"/>
        <v>A</v>
      </c>
      <c r="O44" s="9" t="str">
        <f>IF(MATCH(N44,{"D","C","B","A","S","S+"},0)&gt;MAX(MATCH(L44,{"D","C","B","A","S","S+"},0),MATCH(M44,{"D","C","B","A","S","S+"},0)),"特",IF(MATCH(L44,{"D","C","B","A","S","S+"},0)&gt;MATCH(M44,{"D","C","B","A","S","S+"},0),"武","文"))</f>
        <v>武</v>
      </c>
      <c r="P44" s="9" t="str">
        <f t="shared" si="7"/>
        <v>特才</v>
      </c>
    </row>
    <row r="45" spans="1:16">
      <c r="A45" s="1">
        <v>44</v>
      </c>
      <c r="B45" s="1" t="s">
        <v>164</v>
      </c>
      <c r="C45" s="1">
        <v>68</v>
      </c>
      <c r="D45" s="1">
        <v>66</v>
      </c>
      <c r="E45" s="1">
        <v>88</v>
      </c>
      <c r="F45" s="1">
        <v>75</v>
      </c>
      <c r="G45" s="1">
        <v>69</v>
      </c>
      <c r="H45" s="1">
        <f t="shared" si="0"/>
        <v>366</v>
      </c>
      <c r="I45" s="1">
        <f t="shared" si="1"/>
        <v>67</v>
      </c>
      <c r="J45" s="1">
        <f t="shared" si="2"/>
        <v>81.5</v>
      </c>
      <c r="K45" s="1">
        <f t="shared" si="3"/>
        <v>88</v>
      </c>
      <c r="L45" s="6" t="str">
        <f t="shared" si="4"/>
        <v>C</v>
      </c>
      <c r="M45" s="4" t="str">
        <f t="shared" si="5"/>
        <v>A</v>
      </c>
      <c r="N45" s="4" t="str">
        <f t="shared" si="6"/>
        <v>A</v>
      </c>
      <c r="O45" s="9" t="str">
        <f>IF(MATCH(N45,{"D","C","B","A","S","S+"},0)&gt;MAX(MATCH(L45,{"D","C","B","A","S","S+"},0),MATCH(M45,{"D","C","B","A","S","S+"},0)),"特",IF(MATCH(L45,{"D","C","B","A","S","S+"},0)&gt;MATCH(M45,{"D","C","B","A","S","S+"},0),"武","文"))</f>
        <v>文</v>
      </c>
      <c r="P45" s="9" t="str">
        <f t="shared" si="7"/>
        <v>文臣</v>
      </c>
    </row>
    <row r="46" spans="1:16">
      <c r="A46" s="1">
        <v>45</v>
      </c>
      <c r="B46" s="1" t="s">
        <v>165</v>
      </c>
      <c r="C46" s="1">
        <v>58</v>
      </c>
      <c r="D46" s="1">
        <v>40</v>
      </c>
      <c r="E46" s="1">
        <v>92</v>
      </c>
      <c r="F46" s="1">
        <v>90</v>
      </c>
      <c r="G46" s="1">
        <v>85</v>
      </c>
      <c r="H46" s="1">
        <f t="shared" si="0"/>
        <v>365</v>
      </c>
      <c r="I46" s="1">
        <f t="shared" si="1"/>
        <v>49</v>
      </c>
      <c r="J46" s="1">
        <f t="shared" si="2"/>
        <v>91</v>
      </c>
      <c r="K46" s="1">
        <f t="shared" si="3"/>
        <v>92</v>
      </c>
      <c r="L46" s="7" t="str">
        <f t="shared" si="4"/>
        <v>D</v>
      </c>
      <c r="M46" s="2" t="str">
        <f t="shared" si="5"/>
        <v>S</v>
      </c>
      <c r="N46" s="2" t="str">
        <f t="shared" si="6"/>
        <v>S</v>
      </c>
      <c r="O46" s="9" t="str">
        <f>IF(MATCH(N46,{"D","C","B","A","S","S+"},0)&gt;MAX(MATCH(L46,{"D","C","B","A","S","S+"},0),MATCH(M46,{"D","C","B","A","S","S+"},0)),"特",IF(MATCH(L46,{"D","C","B","A","S","S+"},0)&gt;MATCH(M46,{"D","C","B","A","S","S+"},0),"武","文"))</f>
        <v>文</v>
      </c>
      <c r="P46" s="9" t="str">
        <f t="shared" si="7"/>
        <v>全能</v>
      </c>
    </row>
    <row r="47" spans="1:16">
      <c r="A47" s="1">
        <v>46</v>
      </c>
      <c r="B47" s="1" t="s">
        <v>166</v>
      </c>
      <c r="C47" s="1">
        <v>83</v>
      </c>
      <c r="D47" s="1">
        <v>87</v>
      </c>
      <c r="E47" s="1">
        <v>65</v>
      </c>
      <c r="F47" s="1">
        <v>58</v>
      </c>
      <c r="G47" s="1">
        <v>72</v>
      </c>
      <c r="H47" s="1">
        <f t="shared" si="0"/>
        <v>365</v>
      </c>
      <c r="I47" s="1">
        <f t="shared" si="1"/>
        <v>85</v>
      </c>
      <c r="J47" s="1">
        <f t="shared" si="2"/>
        <v>61.5</v>
      </c>
      <c r="K47" s="1">
        <f t="shared" si="3"/>
        <v>87</v>
      </c>
      <c r="L47" s="4" t="str">
        <f t="shared" si="4"/>
        <v>A</v>
      </c>
      <c r="M47" s="6" t="str">
        <f t="shared" si="5"/>
        <v>C</v>
      </c>
      <c r="N47" s="4" t="str">
        <f t="shared" si="6"/>
        <v>A</v>
      </c>
      <c r="O47" s="9" t="str">
        <f>IF(MATCH(N47,{"D","C","B","A","S","S+"},0)&gt;MAX(MATCH(L47,{"D","C","B","A","S","S+"},0),MATCH(M47,{"D","C","B","A","S","S+"},0)),"特",IF(MATCH(L47,{"D","C","B","A","S","S+"},0)&gt;MATCH(M47,{"D","C","B","A","S","S+"},0),"武","文"))</f>
        <v>武</v>
      </c>
      <c r="P47" s="9" t="str">
        <f t="shared" si="7"/>
        <v>特才</v>
      </c>
    </row>
    <row r="48" spans="1:16">
      <c r="A48" s="1">
        <v>47</v>
      </c>
      <c r="B48" s="1" t="s">
        <v>167</v>
      </c>
      <c r="C48" s="1">
        <v>58</v>
      </c>
      <c r="D48" s="1">
        <v>56</v>
      </c>
      <c r="E48" s="1">
        <v>78</v>
      </c>
      <c r="F48" s="1">
        <v>88</v>
      </c>
      <c r="G48" s="1">
        <v>85</v>
      </c>
      <c r="H48" s="1">
        <f t="shared" si="0"/>
        <v>365</v>
      </c>
      <c r="I48" s="1">
        <f t="shared" si="1"/>
        <v>57</v>
      </c>
      <c r="J48" s="1">
        <f t="shared" si="2"/>
        <v>83</v>
      </c>
      <c r="K48" s="1">
        <f t="shared" si="3"/>
        <v>88</v>
      </c>
      <c r="L48" s="7" t="str">
        <f t="shared" si="4"/>
        <v>D</v>
      </c>
      <c r="M48" s="4" t="str">
        <f t="shared" si="5"/>
        <v>A</v>
      </c>
      <c r="N48" s="4" t="str">
        <f t="shared" si="6"/>
        <v>A</v>
      </c>
      <c r="O48" s="9" t="str">
        <f>IF(MATCH(N48,{"D","C","B","A","S","S+"},0)&gt;MAX(MATCH(L48,{"D","C","B","A","S","S+"},0),MATCH(M48,{"D","C","B","A","S","S+"},0)),"特",IF(MATCH(L48,{"D","C","B","A","S","S+"},0)&gt;MATCH(M48,{"D","C","B","A","S","S+"},0),"武","文"))</f>
        <v>文</v>
      </c>
      <c r="P48" s="9" t="str">
        <f t="shared" si="7"/>
        <v>文臣</v>
      </c>
    </row>
    <row r="49" spans="1:16">
      <c r="A49" s="1">
        <v>48</v>
      </c>
      <c r="B49" s="1" t="s">
        <v>168</v>
      </c>
      <c r="C49" s="1">
        <v>84</v>
      </c>
      <c r="D49" s="1">
        <v>83</v>
      </c>
      <c r="E49" s="1">
        <v>70</v>
      </c>
      <c r="F49" s="1">
        <v>58</v>
      </c>
      <c r="G49" s="1">
        <v>69</v>
      </c>
      <c r="H49" s="1">
        <f t="shared" si="0"/>
        <v>364</v>
      </c>
      <c r="I49" s="1">
        <f t="shared" si="1"/>
        <v>83.5</v>
      </c>
      <c r="J49" s="1">
        <f t="shared" si="2"/>
        <v>64</v>
      </c>
      <c r="K49" s="1">
        <f t="shared" si="3"/>
        <v>84</v>
      </c>
      <c r="L49" s="4" t="str">
        <f t="shared" si="4"/>
        <v>A</v>
      </c>
      <c r="M49" s="6" t="str">
        <f t="shared" si="5"/>
        <v>C</v>
      </c>
      <c r="N49" s="4" t="str">
        <f t="shared" si="6"/>
        <v>A</v>
      </c>
      <c r="O49" s="9" t="str">
        <f>IF(MATCH(N49,{"D","C","B","A","S","S+"},0)&gt;MAX(MATCH(L49,{"D","C","B","A","S","S+"},0),MATCH(M49,{"D","C","B","A","S","S+"},0)),"特",IF(MATCH(L49,{"D","C","B","A","S","S+"},0)&gt;MATCH(M49,{"D","C","B","A","S","S+"},0),"武","文"))</f>
        <v>武</v>
      </c>
      <c r="P49" s="9" t="str">
        <f t="shared" si="7"/>
        <v>特才</v>
      </c>
    </row>
    <row r="50" spans="1:16">
      <c r="A50" s="1">
        <v>49</v>
      </c>
      <c r="B50" s="1" t="s">
        <v>169</v>
      </c>
      <c r="C50" s="1">
        <v>63</v>
      </c>
      <c r="D50" s="1">
        <v>51</v>
      </c>
      <c r="E50" s="1">
        <v>93</v>
      </c>
      <c r="F50" s="1">
        <v>86</v>
      </c>
      <c r="G50" s="1">
        <v>71</v>
      </c>
      <c r="H50" s="1">
        <f t="shared" si="0"/>
        <v>364</v>
      </c>
      <c r="I50" s="1">
        <f t="shared" si="1"/>
        <v>57</v>
      </c>
      <c r="J50" s="1">
        <f t="shared" si="2"/>
        <v>89.5</v>
      </c>
      <c r="K50" s="1">
        <f t="shared" si="3"/>
        <v>93</v>
      </c>
      <c r="L50" s="7" t="str">
        <f t="shared" si="4"/>
        <v>D</v>
      </c>
      <c r="M50" s="4" t="str">
        <f t="shared" si="5"/>
        <v>A</v>
      </c>
      <c r="N50" s="2" t="str">
        <f t="shared" si="6"/>
        <v>S</v>
      </c>
      <c r="O50" s="9" t="str">
        <f>IF(MATCH(N50,{"D","C","B","A","S","S+"},0)&gt;MAX(MATCH(L50,{"D","C","B","A","S","S+"},0),MATCH(M50,{"D","C","B","A","S","S+"},0)),"特",IF(MATCH(L50,{"D","C","B","A","S","S+"},0)&gt;MATCH(M50,{"D","C","B","A","S","S+"},0),"武","文"))</f>
        <v>特</v>
      </c>
      <c r="P50" s="9" t="str">
        <f t="shared" si="7"/>
        <v>文臣</v>
      </c>
    </row>
    <row r="51" spans="1:16">
      <c r="A51" s="1">
        <v>50</v>
      </c>
      <c r="B51" s="1" t="s">
        <v>170</v>
      </c>
      <c r="C51" s="1">
        <v>89</v>
      </c>
      <c r="D51" s="1">
        <v>89</v>
      </c>
      <c r="E51" s="1">
        <v>67</v>
      </c>
      <c r="F51" s="1">
        <v>52</v>
      </c>
      <c r="G51" s="1">
        <v>66</v>
      </c>
      <c r="H51" s="1">
        <f t="shared" si="0"/>
        <v>363</v>
      </c>
      <c r="I51" s="1">
        <f t="shared" si="1"/>
        <v>89</v>
      </c>
      <c r="J51" s="1">
        <f t="shared" si="2"/>
        <v>59.5</v>
      </c>
      <c r="K51" s="1">
        <f t="shared" si="3"/>
        <v>89</v>
      </c>
      <c r="L51" s="4" t="str">
        <f t="shared" si="4"/>
        <v>A</v>
      </c>
      <c r="M51" s="7" t="str">
        <f t="shared" si="5"/>
        <v>D</v>
      </c>
      <c r="N51" s="4" t="str">
        <f t="shared" si="6"/>
        <v>A</v>
      </c>
      <c r="O51" s="9" t="str">
        <f>IF(MATCH(N51,{"D","C","B","A","S","S+"},0)&gt;MAX(MATCH(L51,{"D","C","B","A","S","S+"},0),MATCH(M51,{"D","C","B","A","S","S+"},0)),"特",IF(MATCH(L51,{"D","C","B","A","S","S+"},0)&gt;MATCH(M51,{"D","C","B","A","S","S+"},0),"武","文"))</f>
        <v>武</v>
      </c>
      <c r="P51" s="9" t="str">
        <f t="shared" si="7"/>
        <v>特才</v>
      </c>
    </row>
    <row r="52" spans="1:16">
      <c r="A52" s="1">
        <v>51</v>
      </c>
      <c r="B52" s="1" t="s">
        <v>171</v>
      </c>
      <c r="C52" s="1">
        <v>88</v>
      </c>
      <c r="D52" s="1">
        <v>91</v>
      </c>
      <c r="E52" s="1">
        <v>67</v>
      </c>
      <c r="F52" s="1">
        <v>47</v>
      </c>
      <c r="G52" s="1">
        <v>68</v>
      </c>
      <c r="H52" s="1">
        <f t="shared" si="0"/>
        <v>361</v>
      </c>
      <c r="I52" s="1">
        <f t="shared" si="1"/>
        <v>89.5</v>
      </c>
      <c r="J52" s="1">
        <f t="shared" si="2"/>
        <v>57</v>
      </c>
      <c r="K52" s="1">
        <f t="shared" si="3"/>
        <v>91</v>
      </c>
      <c r="L52" s="4" t="str">
        <f t="shared" si="4"/>
        <v>A</v>
      </c>
      <c r="M52" s="7" t="str">
        <f t="shared" si="5"/>
        <v>D</v>
      </c>
      <c r="N52" s="2" t="str">
        <f t="shared" si="6"/>
        <v>S</v>
      </c>
      <c r="O52" s="9" t="str">
        <f>IF(MATCH(N52,{"D","C","B","A","S","S+"},0)&gt;MAX(MATCH(L52,{"D","C","B","A","S","S+"},0),MATCH(M52,{"D","C","B","A","S","S+"},0)),"特",IF(MATCH(L52,{"D","C","B","A","S","S+"},0)&gt;MATCH(M52,{"D","C","B","A","S","S+"},0),"武","文"))</f>
        <v>特</v>
      </c>
      <c r="P52" s="9" t="str">
        <f t="shared" si="7"/>
        <v>特才</v>
      </c>
    </row>
    <row r="53" spans="1:16">
      <c r="A53" s="1">
        <v>52</v>
      </c>
      <c r="B53" s="1" t="s">
        <v>172</v>
      </c>
      <c r="C53" s="1">
        <v>78</v>
      </c>
      <c r="D53" s="1">
        <v>83</v>
      </c>
      <c r="E53" s="1">
        <v>68</v>
      </c>
      <c r="F53" s="1">
        <v>55</v>
      </c>
      <c r="G53" s="1">
        <v>74</v>
      </c>
      <c r="H53" s="1">
        <f t="shared" si="0"/>
        <v>358</v>
      </c>
      <c r="I53" s="1">
        <f t="shared" si="1"/>
        <v>80.5</v>
      </c>
      <c r="J53" s="1">
        <f t="shared" si="2"/>
        <v>61.5</v>
      </c>
      <c r="K53" s="1">
        <f t="shared" si="3"/>
        <v>83</v>
      </c>
      <c r="L53" s="4" t="str">
        <f t="shared" si="4"/>
        <v>A</v>
      </c>
      <c r="M53" s="6" t="str">
        <f t="shared" si="5"/>
        <v>C</v>
      </c>
      <c r="N53" s="4" t="str">
        <f t="shared" si="6"/>
        <v>A</v>
      </c>
      <c r="O53" s="9" t="str">
        <f>IF(MATCH(N53,{"D","C","B","A","S","S+"},0)&gt;MAX(MATCH(L53,{"D","C","B","A","S","S+"},0),MATCH(M53,{"D","C","B","A","S","S+"},0)),"特",IF(MATCH(L53,{"D","C","B","A","S","S+"},0)&gt;MATCH(M53,{"D","C","B","A","S","S+"},0),"武","文"))</f>
        <v>武</v>
      </c>
      <c r="P53" s="9" t="str">
        <f t="shared" si="7"/>
        <v>特才</v>
      </c>
    </row>
    <row r="54" spans="1:16">
      <c r="A54" s="1">
        <v>53</v>
      </c>
      <c r="B54" s="1" t="s">
        <v>173</v>
      </c>
      <c r="C54" s="1">
        <v>92</v>
      </c>
      <c r="D54" s="1">
        <v>88</v>
      </c>
      <c r="E54" s="1">
        <v>62</v>
      </c>
      <c r="F54" s="1">
        <v>48</v>
      </c>
      <c r="G54" s="1">
        <v>65</v>
      </c>
      <c r="H54" s="1">
        <f t="shared" si="0"/>
        <v>355</v>
      </c>
      <c r="I54" s="1">
        <f t="shared" si="1"/>
        <v>90</v>
      </c>
      <c r="J54" s="1">
        <f t="shared" si="2"/>
        <v>55</v>
      </c>
      <c r="K54" s="1">
        <f t="shared" si="3"/>
        <v>92</v>
      </c>
      <c r="L54" s="2" t="str">
        <f t="shared" si="4"/>
        <v>S</v>
      </c>
      <c r="M54" s="7" t="str">
        <f t="shared" si="5"/>
        <v>D</v>
      </c>
      <c r="N54" s="2" t="str">
        <f t="shared" si="6"/>
        <v>S</v>
      </c>
      <c r="O54" s="9" t="str">
        <f>IF(MATCH(N54,{"D","C","B","A","S","S+"},0)&gt;MAX(MATCH(L54,{"D","C","B","A","S","S+"},0),MATCH(M54,{"D","C","B","A","S","S+"},0)),"特",IF(MATCH(L54,{"D","C","B","A","S","S+"},0)&gt;MATCH(M54,{"D","C","B","A","S","S+"},0),"武","文"))</f>
        <v>武</v>
      </c>
      <c r="P54" s="9" t="str">
        <f t="shared" si="7"/>
        <v>特才</v>
      </c>
    </row>
    <row r="55" spans="1:16">
      <c r="A55" s="1">
        <v>54</v>
      </c>
      <c r="B55" s="1" t="s">
        <v>174</v>
      </c>
      <c r="C55" s="1">
        <v>83</v>
      </c>
      <c r="D55" s="1">
        <v>82</v>
      </c>
      <c r="E55" s="1">
        <v>65</v>
      </c>
      <c r="F55" s="1">
        <v>54</v>
      </c>
      <c r="G55" s="1">
        <v>71</v>
      </c>
      <c r="H55" s="1">
        <f t="shared" si="0"/>
        <v>355</v>
      </c>
      <c r="I55" s="1">
        <f t="shared" si="1"/>
        <v>82.5</v>
      </c>
      <c r="J55" s="1">
        <f t="shared" si="2"/>
        <v>59.5</v>
      </c>
      <c r="K55" s="1">
        <f t="shared" si="3"/>
        <v>83</v>
      </c>
      <c r="L55" s="4" t="str">
        <f t="shared" si="4"/>
        <v>A</v>
      </c>
      <c r="M55" s="7" t="str">
        <f t="shared" si="5"/>
        <v>D</v>
      </c>
      <c r="N55" s="4" t="str">
        <f t="shared" si="6"/>
        <v>A</v>
      </c>
      <c r="O55" s="9" t="str">
        <f>IF(MATCH(N55,{"D","C","B","A","S","S+"},0)&gt;MAX(MATCH(L55,{"D","C","B","A","S","S+"},0),MATCH(M55,{"D","C","B","A","S","S+"},0)),"特",IF(MATCH(L55,{"D","C","B","A","S","S+"},0)&gt;MATCH(M55,{"D","C","B","A","S","S+"},0),"武","文"))</f>
        <v>武</v>
      </c>
      <c r="P55" s="9" t="str">
        <f t="shared" si="7"/>
        <v>特才</v>
      </c>
    </row>
    <row r="56" spans="1:16">
      <c r="A56" s="1">
        <v>55</v>
      </c>
      <c r="B56" s="1" t="s">
        <v>175</v>
      </c>
      <c r="C56" s="1">
        <v>55</v>
      </c>
      <c r="D56" s="1">
        <v>57</v>
      </c>
      <c r="E56" s="1">
        <v>79</v>
      </c>
      <c r="F56" s="1">
        <v>83</v>
      </c>
      <c r="G56" s="1">
        <v>81</v>
      </c>
      <c r="H56" s="1">
        <f t="shared" si="0"/>
        <v>355</v>
      </c>
      <c r="I56" s="1">
        <f t="shared" si="1"/>
        <v>56</v>
      </c>
      <c r="J56" s="1">
        <f t="shared" si="2"/>
        <v>81</v>
      </c>
      <c r="K56" s="1">
        <f t="shared" si="3"/>
        <v>83</v>
      </c>
      <c r="L56" s="7" t="str">
        <f t="shared" si="4"/>
        <v>D</v>
      </c>
      <c r="M56" s="4" t="str">
        <f t="shared" si="5"/>
        <v>A</v>
      </c>
      <c r="N56" s="4" t="str">
        <f t="shared" si="6"/>
        <v>A</v>
      </c>
      <c r="O56" s="9" t="str">
        <f>IF(MATCH(N56,{"D","C","B","A","S","S+"},0)&gt;MAX(MATCH(L56,{"D","C","B","A","S","S+"},0),MATCH(M56,{"D","C","B","A","S","S+"},0)),"特",IF(MATCH(L56,{"D","C","B","A","S","S+"},0)&gt;MATCH(M56,{"D","C","B","A","S","S+"},0),"武","文"))</f>
        <v>文</v>
      </c>
      <c r="P56" s="9" t="str">
        <f t="shared" si="7"/>
        <v>文臣</v>
      </c>
    </row>
    <row r="57" spans="1:16">
      <c r="A57" s="1">
        <v>56</v>
      </c>
      <c r="B57" s="1" t="s">
        <v>176</v>
      </c>
      <c r="C57" s="1">
        <v>59</v>
      </c>
      <c r="D57" s="1">
        <v>48</v>
      </c>
      <c r="E57" s="1">
        <v>94</v>
      </c>
      <c r="F57" s="1">
        <v>85</v>
      </c>
      <c r="G57" s="1">
        <v>67</v>
      </c>
      <c r="H57" s="1">
        <f t="shared" si="0"/>
        <v>353</v>
      </c>
      <c r="I57" s="1">
        <f t="shared" si="1"/>
        <v>53.5</v>
      </c>
      <c r="J57" s="1">
        <f t="shared" si="2"/>
        <v>89.5</v>
      </c>
      <c r="K57" s="1">
        <f t="shared" si="3"/>
        <v>94</v>
      </c>
      <c r="L57" s="7" t="str">
        <f t="shared" si="4"/>
        <v>D</v>
      </c>
      <c r="M57" s="4" t="str">
        <f t="shared" si="5"/>
        <v>A</v>
      </c>
      <c r="N57" s="2" t="str">
        <f t="shared" si="6"/>
        <v>S</v>
      </c>
      <c r="O57" s="9" t="str">
        <f>IF(MATCH(N57,{"D","C","B","A","S","S+"},0)&gt;MAX(MATCH(L57,{"D","C","B","A","S","S+"},0),MATCH(M57,{"D","C","B","A","S","S+"},0)),"特",IF(MATCH(L57,{"D","C","B","A","S","S+"},0)&gt;MATCH(M57,{"D","C","B","A","S","S+"},0),"武","文"))</f>
        <v>特</v>
      </c>
      <c r="P57" s="9" t="str">
        <f t="shared" si="7"/>
        <v>文臣</v>
      </c>
    </row>
    <row r="58" spans="1:16">
      <c r="A58" s="1">
        <v>57</v>
      </c>
      <c r="B58" s="1" t="s">
        <v>177</v>
      </c>
      <c r="C58" s="1">
        <v>35</v>
      </c>
      <c r="D58" s="1">
        <v>58</v>
      </c>
      <c r="E58" s="1">
        <v>85</v>
      </c>
      <c r="F58" s="1">
        <v>83</v>
      </c>
      <c r="G58" s="1">
        <v>91</v>
      </c>
      <c r="H58" s="1">
        <f t="shared" si="0"/>
        <v>352</v>
      </c>
      <c r="I58" s="1">
        <f t="shared" si="1"/>
        <v>46.5</v>
      </c>
      <c r="J58" s="1">
        <f t="shared" si="2"/>
        <v>84</v>
      </c>
      <c r="K58" s="1">
        <f t="shared" si="3"/>
        <v>91</v>
      </c>
      <c r="L58" s="7" t="str">
        <f t="shared" si="4"/>
        <v>D</v>
      </c>
      <c r="M58" s="4" t="str">
        <f t="shared" si="5"/>
        <v>A</v>
      </c>
      <c r="N58" s="2" t="str">
        <f t="shared" si="6"/>
        <v>S</v>
      </c>
      <c r="O58" s="9" t="str">
        <f>IF(MATCH(N58,{"D","C","B","A","S","S+"},0)&gt;MAX(MATCH(L58,{"D","C","B","A","S","S+"},0),MATCH(M58,{"D","C","B","A","S","S+"},0)),"特",IF(MATCH(L58,{"D","C","B","A","S","S+"},0)&gt;MATCH(M58,{"D","C","B","A","S","S+"},0),"武","文"))</f>
        <v>特</v>
      </c>
      <c r="P58" s="9" t="str">
        <f t="shared" si="7"/>
        <v>文臣</v>
      </c>
    </row>
    <row r="59" spans="1:16">
      <c r="A59" s="1">
        <v>58</v>
      </c>
      <c r="B59" s="1" t="s">
        <v>178</v>
      </c>
      <c r="C59" s="1">
        <v>87</v>
      </c>
      <c r="D59" s="1">
        <v>89</v>
      </c>
      <c r="E59" s="1">
        <v>55</v>
      </c>
      <c r="F59" s="1">
        <v>48</v>
      </c>
      <c r="G59" s="1">
        <v>72</v>
      </c>
      <c r="H59" s="1">
        <f t="shared" si="0"/>
        <v>351</v>
      </c>
      <c r="I59" s="1">
        <f t="shared" si="1"/>
        <v>88</v>
      </c>
      <c r="J59" s="1">
        <f t="shared" si="2"/>
        <v>51.5</v>
      </c>
      <c r="K59" s="1">
        <f t="shared" si="3"/>
        <v>89</v>
      </c>
      <c r="L59" s="4" t="str">
        <f t="shared" si="4"/>
        <v>A</v>
      </c>
      <c r="M59" s="7" t="str">
        <f t="shared" si="5"/>
        <v>D</v>
      </c>
      <c r="N59" s="4" t="str">
        <f t="shared" si="6"/>
        <v>A</v>
      </c>
      <c r="O59" s="9" t="str">
        <f>IF(MATCH(N59,{"D","C","B","A","S","S+"},0)&gt;MAX(MATCH(L59,{"D","C","B","A","S","S+"},0),MATCH(M59,{"D","C","B","A","S","S+"},0)),"特",IF(MATCH(L59,{"D","C","B","A","S","S+"},0)&gt;MATCH(M59,{"D","C","B","A","S","S+"},0),"武","文"))</f>
        <v>武</v>
      </c>
      <c r="P59" s="9" t="str">
        <f t="shared" si="7"/>
        <v>特才</v>
      </c>
    </row>
    <row r="60" spans="1:16">
      <c r="A60" s="1">
        <v>59</v>
      </c>
      <c r="B60" s="1" t="s">
        <v>179</v>
      </c>
      <c r="C60" s="1">
        <v>40</v>
      </c>
      <c r="D60" s="1">
        <v>28</v>
      </c>
      <c r="E60" s="1">
        <v>95</v>
      </c>
      <c r="F60" s="1">
        <v>99</v>
      </c>
      <c r="G60" s="1">
        <v>88</v>
      </c>
      <c r="H60" s="1">
        <f t="shared" si="0"/>
        <v>350</v>
      </c>
      <c r="I60" s="1">
        <f t="shared" si="1"/>
        <v>34</v>
      </c>
      <c r="J60" s="1">
        <f t="shared" si="2"/>
        <v>97</v>
      </c>
      <c r="K60" s="1">
        <f t="shared" si="3"/>
        <v>99</v>
      </c>
      <c r="L60" s="7" t="str">
        <f t="shared" si="4"/>
        <v>D</v>
      </c>
      <c r="M60" s="2" t="str">
        <f t="shared" si="5"/>
        <v>S</v>
      </c>
      <c r="N60" s="2" t="str">
        <f t="shared" si="6"/>
        <v>S</v>
      </c>
      <c r="O60" s="9" t="str">
        <f>IF(MATCH(N60,{"D","C","B","A","S","S+"},0)&gt;MAX(MATCH(L60,{"D","C","B","A","S","S+"},0),MATCH(M60,{"D","C","B","A","S","S+"},0)),"特",IF(MATCH(L60,{"D","C","B","A","S","S+"},0)&gt;MATCH(M60,{"D","C","B","A","S","S+"},0),"武","文"))</f>
        <v>文</v>
      </c>
      <c r="P60" s="9" t="str">
        <f t="shared" si="7"/>
        <v>全能</v>
      </c>
    </row>
    <row r="61" spans="1:16">
      <c r="A61" s="1">
        <v>60</v>
      </c>
      <c r="B61" s="1" t="s">
        <v>180</v>
      </c>
      <c r="C61" s="1">
        <v>57</v>
      </c>
      <c r="D61" s="1">
        <v>46</v>
      </c>
      <c r="E61" s="1">
        <v>97</v>
      </c>
      <c r="F61" s="1">
        <v>84</v>
      </c>
      <c r="G61" s="1">
        <v>65</v>
      </c>
      <c r="H61" s="1">
        <f t="shared" si="0"/>
        <v>349</v>
      </c>
      <c r="I61" s="1">
        <f t="shared" si="1"/>
        <v>51.5</v>
      </c>
      <c r="J61" s="1">
        <f t="shared" si="2"/>
        <v>90.5</v>
      </c>
      <c r="K61" s="1">
        <f t="shared" si="3"/>
        <v>97</v>
      </c>
      <c r="L61" s="7" t="str">
        <f t="shared" si="4"/>
        <v>D</v>
      </c>
      <c r="M61" s="2" t="str">
        <f t="shared" si="5"/>
        <v>S</v>
      </c>
      <c r="N61" s="2" t="str">
        <f t="shared" si="6"/>
        <v>S</v>
      </c>
      <c r="O61" s="9" t="str">
        <f>IF(MATCH(N61,{"D","C","B","A","S","S+"},0)&gt;MAX(MATCH(L61,{"D","C","B","A","S","S+"},0),MATCH(M61,{"D","C","B","A","S","S+"},0)),"特",IF(MATCH(L61,{"D","C","B","A","S","S+"},0)&gt;MATCH(M61,{"D","C","B","A","S","S+"},0),"武","文"))</f>
        <v>文</v>
      </c>
      <c r="P61" s="9" t="str">
        <f t="shared" si="7"/>
        <v>全能</v>
      </c>
    </row>
    <row r="62" spans="1:16">
      <c r="A62" s="1">
        <v>61</v>
      </c>
      <c r="B62" s="1" t="s">
        <v>181</v>
      </c>
      <c r="C62" s="1">
        <v>86</v>
      </c>
      <c r="D62" s="1">
        <v>94</v>
      </c>
      <c r="E62" s="1">
        <v>60</v>
      </c>
      <c r="F62" s="1">
        <v>37</v>
      </c>
      <c r="G62" s="1">
        <v>72</v>
      </c>
      <c r="H62" s="1">
        <f t="shared" si="0"/>
        <v>349</v>
      </c>
      <c r="I62" s="1">
        <f t="shared" si="1"/>
        <v>90</v>
      </c>
      <c r="J62" s="1">
        <f t="shared" si="2"/>
        <v>48.5</v>
      </c>
      <c r="K62" s="1">
        <f t="shared" si="3"/>
        <v>94</v>
      </c>
      <c r="L62" s="2" t="str">
        <f t="shared" si="4"/>
        <v>S</v>
      </c>
      <c r="M62" s="7" t="str">
        <f t="shared" si="5"/>
        <v>D</v>
      </c>
      <c r="N62" s="2" t="str">
        <f t="shared" si="6"/>
        <v>S</v>
      </c>
      <c r="O62" s="9" t="str">
        <f>IF(MATCH(N62,{"D","C","B","A","S","S+"},0)&gt;MAX(MATCH(L62,{"D","C","B","A","S","S+"},0),MATCH(M62,{"D","C","B","A","S","S+"},0)),"特",IF(MATCH(L62,{"D","C","B","A","S","S+"},0)&gt;MATCH(M62,{"D","C","B","A","S","S+"},0),"武","文"))</f>
        <v>武</v>
      </c>
      <c r="P62" s="9" t="str">
        <f t="shared" si="7"/>
        <v>特才</v>
      </c>
    </row>
    <row r="63" spans="1:16">
      <c r="A63" s="1">
        <v>62</v>
      </c>
      <c r="B63" s="1" t="s">
        <v>182</v>
      </c>
      <c r="C63" s="1">
        <v>91</v>
      </c>
      <c r="D63" s="1">
        <v>92</v>
      </c>
      <c r="E63" s="1">
        <v>56</v>
      </c>
      <c r="F63" s="1">
        <v>45</v>
      </c>
      <c r="G63" s="1">
        <v>64</v>
      </c>
      <c r="H63" s="1">
        <f t="shared" si="0"/>
        <v>348</v>
      </c>
      <c r="I63" s="1">
        <f t="shared" si="1"/>
        <v>91.5</v>
      </c>
      <c r="J63" s="1">
        <f t="shared" si="2"/>
        <v>50.5</v>
      </c>
      <c r="K63" s="1">
        <f t="shared" si="3"/>
        <v>92</v>
      </c>
      <c r="L63" s="2" t="str">
        <f t="shared" si="4"/>
        <v>S</v>
      </c>
      <c r="M63" s="7" t="str">
        <f t="shared" si="5"/>
        <v>D</v>
      </c>
      <c r="N63" s="2" t="str">
        <f t="shared" si="6"/>
        <v>S</v>
      </c>
      <c r="O63" s="9" t="str">
        <f>IF(MATCH(N63,{"D","C","B","A","S","S+"},0)&gt;MAX(MATCH(L63,{"D","C","B","A","S","S+"},0),MATCH(M63,{"D","C","B","A","S","S+"},0)),"特",IF(MATCH(L63,{"D","C","B","A","S","S+"},0)&gt;MATCH(M63,{"D","C","B","A","S","S+"},0),"武","文"))</f>
        <v>武</v>
      </c>
      <c r="P63" s="9" t="str">
        <f t="shared" si="7"/>
        <v>特才</v>
      </c>
    </row>
    <row r="64" spans="1:16">
      <c r="A64" s="1">
        <v>63</v>
      </c>
      <c r="B64" s="1" t="s">
        <v>183</v>
      </c>
      <c r="C64" s="1">
        <v>80</v>
      </c>
      <c r="D64" s="1">
        <v>88</v>
      </c>
      <c r="E64" s="1">
        <v>61</v>
      </c>
      <c r="F64" s="1">
        <v>46</v>
      </c>
      <c r="G64" s="1">
        <v>73</v>
      </c>
      <c r="H64" s="1">
        <f t="shared" si="0"/>
        <v>348</v>
      </c>
      <c r="I64" s="1">
        <f t="shared" si="1"/>
        <v>84</v>
      </c>
      <c r="J64" s="1">
        <f t="shared" si="2"/>
        <v>53.5</v>
      </c>
      <c r="K64" s="1">
        <f t="shared" si="3"/>
        <v>88</v>
      </c>
      <c r="L64" s="4" t="str">
        <f t="shared" si="4"/>
        <v>A</v>
      </c>
      <c r="M64" s="7" t="str">
        <f t="shared" si="5"/>
        <v>D</v>
      </c>
      <c r="N64" s="4" t="str">
        <f t="shared" si="6"/>
        <v>A</v>
      </c>
      <c r="O64" s="9" t="str">
        <f>IF(MATCH(N64,{"D","C","B","A","S","S+"},0)&gt;MAX(MATCH(L64,{"D","C","B","A","S","S+"},0),MATCH(M64,{"D","C","B","A","S","S+"},0)),"特",IF(MATCH(L64,{"D","C","B","A","S","S+"},0)&gt;MATCH(M64,{"D","C","B","A","S","S+"},0),"武","文"))</f>
        <v>武</v>
      </c>
      <c r="P64" s="9" t="str">
        <f t="shared" si="7"/>
        <v>特才</v>
      </c>
    </row>
    <row r="65" spans="1:16">
      <c r="A65" s="1">
        <v>64</v>
      </c>
      <c r="B65" s="1" t="s">
        <v>184</v>
      </c>
      <c r="C65" s="1">
        <v>79</v>
      </c>
      <c r="D65" s="1">
        <v>72</v>
      </c>
      <c r="E65" s="1">
        <v>70</v>
      </c>
      <c r="F65" s="1">
        <v>65</v>
      </c>
      <c r="G65" s="1">
        <v>62</v>
      </c>
      <c r="H65" s="1">
        <f t="shared" si="0"/>
        <v>348</v>
      </c>
      <c r="I65" s="1">
        <f t="shared" si="1"/>
        <v>75.5</v>
      </c>
      <c r="J65" s="1">
        <f t="shared" si="2"/>
        <v>67.5</v>
      </c>
      <c r="K65" s="1">
        <f t="shared" si="3"/>
        <v>79</v>
      </c>
      <c r="L65" s="5" t="str">
        <f t="shared" si="4"/>
        <v>B</v>
      </c>
      <c r="M65" s="6" t="str">
        <f t="shared" si="5"/>
        <v>C</v>
      </c>
      <c r="N65" s="5" t="str">
        <f t="shared" si="6"/>
        <v>B</v>
      </c>
      <c r="O65" s="9" t="str">
        <f>IF(MATCH(N65,{"D","C","B","A","S","S+"},0)&gt;MAX(MATCH(L65,{"D","C","B","A","S","S+"},0),MATCH(M65,{"D","C","B","A","S","S+"},0)),"特",IF(MATCH(L65,{"D","C","B","A","S","S+"},0)&gt;MATCH(M65,{"D","C","B","A","S","S+"},0),"武","文"))</f>
        <v>武</v>
      </c>
      <c r="P65" s="9" t="str">
        <f t="shared" si="7"/>
        <v>特才</v>
      </c>
    </row>
    <row r="66" spans="1:16">
      <c r="A66" s="1">
        <v>65</v>
      </c>
      <c r="B66" s="1" t="s">
        <v>185</v>
      </c>
      <c r="C66" s="1">
        <v>75</v>
      </c>
      <c r="D66" s="1">
        <v>73</v>
      </c>
      <c r="E66" s="1">
        <v>62</v>
      </c>
      <c r="F66" s="1">
        <v>70</v>
      </c>
      <c r="G66" s="1">
        <v>68</v>
      </c>
      <c r="H66" s="1">
        <f t="shared" si="0"/>
        <v>348</v>
      </c>
      <c r="I66" s="1">
        <f t="shared" si="1"/>
        <v>74</v>
      </c>
      <c r="J66" s="1">
        <f t="shared" si="2"/>
        <v>66</v>
      </c>
      <c r="K66" s="1">
        <f t="shared" si="3"/>
        <v>75</v>
      </c>
      <c r="L66" s="5" t="str">
        <f t="shared" si="4"/>
        <v>B</v>
      </c>
      <c r="M66" s="6" t="str">
        <f t="shared" si="5"/>
        <v>C</v>
      </c>
      <c r="N66" s="5" t="str">
        <f t="shared" si="6"/>
        <v>B</v>
      </c>
      <c r="O66" s="9" t="str">
        <f>IF(MATCH(N66,{"D","C","B","A","S","S+"},0)&gt;MAX(MATCH(L66,{"D","C","B","A","S","S+"},0),MATCH(M66,{"D","C","B","A","S","S+"},0)),"特",IF(MATCH(L66,{"D","C","B","A","S","S+"},0)&gt;MATCH(M66,{"D","C","B","A","S","S+"},0),"武","文"))</f>
        <v>武</v>
      </c>
      <c r="P66" s="9" t="str">
        <f t="shared" si="7"/>
        <v>特才</v>
      </c>
    </row>
    <row r="67" spans="1:16">
      <c r="A67" s="1">
        <v>66</v>
      </c>
      <c r="B67" s="1" t="s">
        <v>186</v>
      </c>
      <c r="C67" s="1">
        <v>88</v>
      </c>
      <c r="D67" s="1">
        <v>84</v>
      </c>
      <c r="E67" s="1">
        <v>62</v>
      </c>
      <c r="F67" s="1">
        <v>50</v>
      </c>
      <c r="G67" s="1">
        <v>61</v>
      </c>
      <c r="H67" s="1">
        <f t="shared" ref="H67:H102" si="8">SUM(C67:G67)</f>
        <v>345</v>
      </c>
      <c r="I67" s="1">
        <f t="shared" ref="I67:I102" si="9">AVERAGE(C67:D67)</f>
        <v>86</v>
      </c>
      <c r="J67" s="1">
        <f t="shared" ref="J67:J102" si="10">AVERAGE(E67:F67)</f>
        <v>56</v>
      </c>
      <c r="K67" s="1">
        <f t="shared" ref="K67:K102" si="11">MAX(C67:G67)</f>
        <v>88</v>
      </c>
      <c r="L67" s="4" t="str">
        <f t="shared" ref="L67:L102" si="12">IF(I67=100,"S+",IF(I67&gt;=90,"S",IF(I67&gt;=80,"A",IF(I67&gt;=70,"B",IF(I67&gt;=60,"C","D")))))</f>
        <v>A</v>
      </c>
      <c r="M67" s="7" t="str">
        <f t="shared" ref="M67:M102" si="13">IF(J67=100,"S+",IF(J67&gt;=90,"S",IF(J67&gt;=80,"A",IF(J67&gt;=70,"B",IF(J67&gt;=60,"C","D")))))</f>
        <v>D</v>
      </c>
      <c r="N67" s="4" t="str">
        <f t="shared" ref="N67:N102" si="14">IF(K67=100,"S+",IF(K67&gt;=90,"S",IF(K67&gt;=80,"A",IF(K67&gt;=70,"B",IF(K67&gt;=60,"C","D")))))</f>
        <v>A</v>
      </c>
      <c r="O67" s="9" t="str">
        <f>IF(MATCH(N67,{"D","C","B","A","S","S+"},0)&gt;MAX(MATCH(L67,{"D","C","B","A","S","S+"},0),MATCH(M67,{"D","C","B","A","S","S+"},0)),"特",IF(MATCH(L67,{"D","C","B","A","S","S+"},0)&gt;MATCH(M67,{"D","C","B","A","S","S+"},0),"武","文"))</f>
        <v>武</v>
      </c>
      <c r="P67" s="9" t="str">
        <f t="shared" ref="P67:P102" si="15">IF(AND(J67&gt;=90,K67&gt;=90),"全能",IF(AND(OR(J67&lt;80,K67&lt;80),L67&gt;=90),"特才",IF(J67&gt;K67,"武将","文臣")))</f>
        <v>特才</v>
      </c>
    </row>
    <row r="68" spans="1:16">
      <c r="A68" s="1">
        <v>67</v>
      </c>
      <c r="B68" s="1" t="s">
        <v>187</v>
      </c>
      <c r="C68" s="1">
        <v>83</v>
      </c>
      <c r="D68" s="1">
        <v>87</v>
      </c>
      <c r="E68" s="1">
        <v>49</v>
      </c>
      <c r="F68" s="1">
        <v>51</v>
      </c>
      <c r="G68" s="1">
        <v>75</v>
      </c>
      <c r="H68" s="1">
        <f t="shared" si="8"/>
        <v>345</v>
      </c>
      <c r="I68" s="1">
        <f t="shared" si="9"/>
        <v>85</v>
      </c>
      <c r="J68" s="1">
        <f t="shared" si="10"/>
        <v>50</v>
      </c>
      <c r="K68" s="1">
        <f t="shared" si="11"/>
        <v>87</v>
      </c>
      <c r="L68" s="4" t="str">
        <f t="shared" si="12"/>
        <v>A</v>
      </c>
      <c r="M68" s="7" t="str">
        <f t="shared" si="13"/>
        <v>D</v>
      </c>
      <c r="N68" s="4" t="str">
        <f t="shared" si="14"/>
        <v>A</v>
      </c>
      <c r="O68" s="9" t="str">
        <f>IF(MATCH(N68,{"D","C","B","A","S","S+"},0)&gt;MAX(MATCH(L68,{"D","C","B","A","S","S+"},0),MATCH(M68,{"D","C","B","A","S","S+"},0)),"特",IF(MATCH(L68,{"D","C","B","A","S","S+"},0)&gt;MATCH(M68,{"D","C","B","A","S","S+"},0),"武","文"))</f>
        <v>武</v>
      </c>
      <c r="P68" s="9" t="str">
        <f t="shared" si="15"/>
        <v>特才</v>
      </c>
    </row>
    <row r="69" spans="1:16">
      <c r="A69" s="1">
        <v>68</v>
      </c>
      <c r="B69" s="1" t="s">
        <v>188</v>
      </c>
      <c r="C69" s="1">
        <v>82</v>
      </c>
      <c r="D69" s="1">
        <v>93</v>
      </c>
      <c r="E69" s="1">
        <v>58</v>
      </c>
      <c r="F69" s="1">
        <v>42</v>
      </c>
      <c r="G69" s="1">
        <v>69</v>
      </c>
      <c r="H69" s="1">
        <f t="shared" si="8"/>
        <v>344</v>
      </c>
      <c r="I69" s="1">
        <f t="shared" si="9"/>
        <v>87.5</v>
      </c>
      <c r="J69" s="1">
        <f t="shared" si="10"/>
        <v>50</v>
      </c>
      <c r="K69" s="1">
        <f t="shared" si="11"/>
        <v>93</v>
      </c>
      <c r="L69" s="4" t="str">
        <f t="shared" si="12"/>
        <v>A</v>
      </c>
      <c r="M69" s="7" t="str">
        <f t="shared" si="13"/>
        <v>D</v>
      </c>
      <c r="N69" s="2" t="str">
        <f t="shared" si="14"/>
        <v>S</v>
      </c>
      <c r="O69" s="9" t="str">
        <f>IF(MATCH(N69,{"D","C","B","A","S","S+"},0)&gt;MAX(MATCH(L69,{"D","C","B","A","S","S+"},0),MATCH(M69,{"D","C","B","A","S","S+"},0)),"特",IF(MATCH(L69,{"D","C","B","A","S","S+"},0)&gt;MATCH(M69,{"D","C","B","A","S","S+"},0),"武","文"))</f>
        <v>特</v>
      </c>
      <c r="P69" s="9" t="str">
        <f t="shared" si="15"/>
        <v>特才</v>
      </c>
    </row>
    <row r="70" spans="1:16">
      <c r="A70" s="1">
        <v>69</v>
      </c>
      <c r="B70" s="1" t="s">
        <v>189</v>
      </c>
      <c r="C70" s="1">
        <v>85</v>
      </c>
      <c r="D70" s="1">
        <v>88</v>
      </c>
      <c r="E70" s="1">
        <v>57</v>
      </c>
      <c r="F70" s="1">
        <v>46</v>
      </c>
      <c r="G70" s="1">
        <v>67</v>
      </c>
      <c r="H70" s="1">
        <f t="shared" si="8"/>
        <v>343</v>
      </c>
      <c r="I70" s="1">
        <f t="shared" si="9"/>
        <v>86.5</v>
      </c>
      <c r="J70" s="1">
        <f t="shared" si="10"/>
        <v>51.5</v>
      </c>
      <c r="K70" s="1">
        <f t="shared" si="11"/>
        <v>88</v>
      </c>
      <c r="L70" s="4" t="str">
        <f t="shared" si="12"/>
        <v>A</v>
      </c>
      <c r="M70" s="7" t="str">
        <f t="shared" si="13"/>
        <v>D</v>
      </c>
      <c r="N70" s="4" t="str">
        <f t="shared" si="14"/>
        <v>A</v>
      </c>
      <c r="O70" s="9" t="str">
        <f>IF(MATCH(N70,{"D","C","B","A","S","S+"},0)&gt;MAX(MATCH(L70,{"D","C","B","A","S","S+"},0),MATCH(M70,{"D","C","B","A","S","S+"},0)),"特",IF(MATCH(L70,{"D","C","B","A","S","S+"},0)&gt;MATCH(M70,{"D","C","B","A","S","S+"},0),"武","文"))</f>
        <v>武</v>
      </c>
      <c r="P70" s="9" t="str">
        <f t="shared" si="15"/>
        <v>特才</v>
      </c>
    </row>
    <row r="71" spans="1:16">
      <c r="A71" s="1">
        <v>70</v>
      </c>
      <c r="B71" s="1" t="s">
        <v>190</v>
      </c>
      <c r="C71" s="1">
        <v>89</v>
      </c>
      <c r="D71" s="1">
        <v>97</v>
      </c>
      <c r="E71" s="1">
        <v>45</v>
      </c>
      <c r="F71" s="1">
        <v>34</v>
      </c>
      <c r="G71" s="1">
        <v>78</v>
      </c>
      <c r="H71" s="1">
        <f t="shared" si="8"/>
        <v>343</v>
      </c>
      <c r="I71" s="1">
        <f t="shared" si="9"/>
        <v>93</v>
      </c>
      <c r="J71" s="1">
        <f t="shared" si="10"/>
        <v>39.5</v>
      </c>
      <c r="K71" s="1">
        <f t="shared" si="11"/>
        <v>97</v>
      </c>
      <c r="L71" s="2" t="str">
        <f t="shared" si="12"/>
        <v>S</v>
      </c>
      <c r="M71" s="7" t="str">
        <f t="shared" si="13"/>
        <v>D</v>
      </c>
      <c r="N71" s="2" t="str">
        <f t="shared" si="14"/>
        <v>S</v>
      </c>
      <c r="O71" s="9" t="str">
        <f>IF(MATCH(N71,{"D","C","B","A","S","S+"},0)&gt;MAX(MATCH(L71,{"D","C","B","A","S","S+"},0),MATCH(M71,{"D","C","B","A","S","S+"},0)),"特",IF(MATCH(L71,{"D","C","B","A","S","S+"},0)&gt;MATCH(M71,{"D","C","B","A","S","S+"},0),"武","文"))</f>
        <v>武</v>
      </c>
      <c r="P71" s="9" t="str">
        <f t="shared" si="15"/>
        <v>特才</v>
      </c>
    </row>
    <row r="72" spans="1:16">
      <c r="A72" s="1">
        <v>71</v>
      </c>
      <c r="B72" s="1" t="s">
        <v>191</v>
      </c>
      <c r="C72" s="1">
        <v>95</v>
      </c>
      <c r="D72" s="1">
        <v>100</v>
      </c>
      <c r="E72" s="1">
        <v>44</v>
      </c>
      <c r="F72" s="1">
        <v>13</v>
      </c>
      <c r="G72" s="1">
        <v>88</v>
      </c>
      <c r="H72" s="1">
        <f t="shared" si="8"/>
        <v>340</v>
      </c>
      <c r="I72" s="1">
        <f t="shared" si="9"/>
        <v>97.5</v>
      </c>
      <c r="J72" s="1">
        <f t="shared" si="10"/>
        <v>28.5</v>
      </c>
      <c r="K72" s="1">
        <f t="shared" si="11"/>
        <v>100</v>
      </c>
      <c r="L72" s="2" t="str">
        <f t="shared" si="12"/>
        <v>S</v>
      </c>
      <c r="M72" s="7" t="str">
        <f t="shared" si="13"/>
        <v>D</v>
      </c>
      <c r="N72" s="3" t="str">
        <f t="shared" si="14"/>
        <v>S+</v>
      </c>
      <c r="O72" s="9" t="str">
        <f>IF(MATCH(N72,{"D","C","B","A","S","S+"},0)&gt;MAX(MATCH(L72,{"D","C","B","A","S","S+"},0),MATCH(M72,{"D","C","B","A","S","S+"},0)),"特",IF(MATCH(L72,{"D","C","B","A","S","S+"},0)&gt;MATCH(M72,{"D","C","B","A","S","S+"},0),"武","文"))</f>
        <v>特</v>
      </c>
      <c r="P72" s="9" t="str">
        <f t="shared" si="15"/>
        <v>特才</v>
      </c>
    </row>
    <row r="73" spans="1:16">
      <c r="A73" s="1">
        <v>72</v>
      </c>
      <c r="B73" s="1" t="s">
        <v>192</v>
      </c>
      <c r="C73" s="1">
        <v>86</v>
      </c>
      <c r="D73" s="1">
        <v>85</v>
      </c>
      <c r="E73" s="1">
        <v>55</v>
      </c>
      <c r="F73" s="1">
        <v>43</v>
      </c>
      <c r="G73" s="1">
        <v>63</v>
      </c>
      <c r="H73" s="1">
        <f t="shared" si="8"/>
        <v>332</v>
      </c>
      <c r="I73" s="1">
        <f t="shared" si="9"/>
        <v>85.5</v>
      </c>
      <c r="J73" s="1">
        <f t="shared" si="10"/>
        <v>49</v>
      </c>
      <c r="K73" s="1">
        <f t="shared" si="11"/>
        <v>86</v>
      </c>
      <c r="L73" s="4" t="str">
        <f t="shared" si="12"/>
        <v>A</v>
      </c>
      <c r="M73" s="7" t="str">
        <f t="shared" si="13"/>
        <v>D</v>
      </c>
      <c r="N73" s="4" t="str">
        <f t="shared" si="14"/>
        <v>A</v>
      </c>
      <c r="O73" s="9" t="str">
        <f>IF(MATCH(N73,{"D","C","B","A","S","S+"},0)&gt;MAX(MATCH(L73,{"D","C","B","A","S","S+"},0),MATCH(M73,{"D","C","B","A","S","S+"},0)),"特",IF(MATCH(L73,{"D","C","B","A","S","S+"},0)&gt;MATCH(M73,{"D","C","B","A","S","S+"},0),"武","文"))</f>
        <v>武</v>
      </c>
      <c r="P73" s="9" t="str">
        <f t="shared" si="15"/>
        <v>特才</v>
      </c>
    </row>
    <row r="74" spans="1:16">
      <c r="A74" s="1">
        <v>73</v>
      </c>
      <c r="B74" s="1" t="s">
        <v>193</v>
      </c>
      <c r="C74" s="1">
        <v>82</v>
      </c>
      <c r="D74" s="1">
        <v>91</v>
      </c>
      <c r="E74" s="1">
        <v>52</v>
      </c>
      <c r="F74" s="1">
        <v>39</v>
      </c>
      <c r="G74" s="1">
        <v>70</v>
      </c>
      <c r="H74" s="1">
        <f t="shared" si="8"/>
        <v>334</v>
      </c>
      <c r="I74" s="1">
        <f t="shared" si="9"/>
        <v>86.5</v>
      </c>
      <c r="J74" s="1">
        <f t="shared" si="10"/>
        <v>45.5</v>
      </c>
      <c r="K74" s="1">
        <f t="shared" si="11"/>
        <v>91</v>
      </c>
      <c r="L74" s="4" t="str">
        <f t="shared" si="12"/>
        <v>A</v>
      </c>
      <c r="M74" s="7" t="str">
        <f t="shared" si="13"/>
        <v>D</v>
      </c>
      <c r="N74" s="2" t="str">
        <f t="shared" si="14"/>
        <v>S</v>
      </c>
      <c r="O74" s="9" t="str">
        <f>IF(MATCH(N74,{"D","C","B","A","S","S+"},0)&gt;MAX(MATCH(L74,{"D","C","B","A","S","S+"},0),MATCH(M74,{"D","C","B","A","S","S+"},0)),"特",IF(MATCH(L74,{"D","C","B","A","S","S+"},0)&gt;MATCH(M74,{"D","C","B","A","S","S+"},0),"武","文"))</f>
        <v>特</v>
      </c>
      <c r="P74" s="9" t="str">
        <f t="shared" si="15"/>
        <v>特才</v>
      </c>
    </row>
    <row r="75" spans="1:16">
      <c r="A75" s="1">
        <v>74</v>
      </c>
      <c r="B75" s="1" t="s">
        <v>194</v>
      </c>
      <c r="C75" s="1">
        <v>42</v>
      </c>
      <c r="D75" s="1">
        <v>32</v>
      </c>
      <c r="E75" s="1">
        <v>94</v>
      </c>
      <c r="F75" s="1">
        <v>92</v>
      </c>
      <c r="G75" s="1">
        <v>76</v>
      </c>
      <c r="H75" s="1">
        <f t="shared" si="8"/>
        <v>336</v>
      </c>
      <c r="I75" s="1">
        <f t="shared" si="9"/>
        <v>37</v>
      </c>
      <c r="J75" s="1">
        <f t="shared" si="10"/>
        <v>93</v>
      </c>
      <c r="K75" s="1">
        <f t="shared" si="11"/>
        <v>94</v>
      </c>
      <c r="L75" s="7" t="str">
        <f t="shared" si="12"/>
        <v>D</v>
      </c>
      <c r="M75" s="2" t="str">
        <f t="shared" si="13"/>
        <v>S</v>
      </c>
      <c r="N75" s="2" t="str">
        <f t="shared" si="14"/>
        <v>S</v>
      </c>
      <c r="O75" s="9" t="str">
        <f>IF(MATCH(N75,{"D","C","B","A","S","S+"},0)&gt;MAX(MATCH(L75,{"D","C","B","A","S","S+"},0),MATCH(M75,{"D","C","B","A","S","S+"},0)),"特",IF(MATCH(L75,{"D","C","B","A","S","S+"},0)&gt;MATCH(M75,{"D","C","B","A","S","S+"},0),"武","文"))</f>
        <v>文</v>
      </c>
      <c r="P75" s="9" t="str">
        <f t="shared" si="15"/>
        <v>全能</v>
      </c>
    </row>
    <row r="76" spans="1:16">
      <c r="A76" s="1">
        <v>75</v>
      </c>
      <c r="B76" s="1" t="s">
        <v>195</v>
      </c>
      <c r="C76" s="1">
        <v>46</v>
      </c>
      <c r="D76" s="1">
        <v>37</v>
      </c>
      <c r="E76" s="1">
        <v>88</v>
      </c>
      <c r="F76" s="1">
        <v>89</v>
      </c>
      <c r="G76" s="1">
        <v>76</v>
      </c>
      <c r="H76" s="1">
        <f t="shared" si="8"/>
        <v>336</v>
      </c>
      <c r="I76" s="1">
        <f t="shared" si="9"/>
        <v>41.5</v>
      </c>
      <c r="J76" s="1">
        <f t="shared" si="10"/>
        <v>88.5</v>
      </c>
      <c r="K76" s="1">
        <f t="shared" si="11"/>
        <v>89</v>
      </c>
      <c r="L76" s="7" t="str">
        <f t="shared" si="12"/>
        <v>D</v>
      </c>
      <c r="M76" s="4" t="str">
        <f t="shared" si="13"/>
        <v>A</v>
      </c>
      <c r="N76" s="4" t="str">
        <f t="shared" si="14"/>
        <v>A</v>
      </c>
      <c r="O76" s="9" t="str">
        <f>IF(MATCH(N76,{"D","C","B","A","S","S+"},0)&gt;MAX(MATCH(L76,{"D","C","B","A","S","S+"},0),MATCH(M76,{"D","C","B","A","S","S+"},0)),"特",IF(MATCH(L76,{"D","C","B","A","S","S+"},0)&gt;MATCH(M76,{"D","C","B","A","S","S+"},0),"武","文"))</f>
        <v>文</v>
      </c>
      <c r="P76" s="9" t="str">
        <f t="shared" si="15"/>
        <v>文臣</v>
      </c>
    </row>
    <row r="77" spans="1:16">
      <c r="A77" s="1">
        <v>76</v>
      </c>
      <c r="B77" s="1" t="s">
        <v>196</v>
      </c>
      <c r="C77" s="1">
        <v>80</v>
      </c>
      <c r="D77" s="1">
        <v>83</v>
      </c>
      <c r="E77" s="1">
        <v>53</v>
      </c>
      <c r="F77" s="1">
        <v>40</v>
      </c>
      <c r="G77" s="1">
        <v>60</v>
      </c>
      <c r="H77" s="1">
        <f t="shared" si="8"/>
        <v>316</v>
      </c>
      <c r="I77" s="1">
        <f t="shared" si="9"/>
        <v>81.5</v>
      </c>
      <c r="J77" s="1">
        <f t="shared" si="10"/>
        <v>46.5</v>
      </c>
      <c r="K77" s="1">
        <f t="shared" si="11"/>
        <v>83</v>
      </c>
      <c r="L77" s="4" t="str">
        <f t="shared" si="12"/>
        <v>A</v>
      </c>
      <c r="M77" s="7" t="str">
        <f t="shared" si="13"/>
        <v>D</v>
      </c>
      <c r="N77" s="4" t="str">
        <f t="shared" si="14"/>
        <v>A</v>
      </c>
      <c r="O77" s="9" t="str">
        <f>IF(MATCH(N77,{"D","C","B","A","S","S+"},0)&gt;MAX(MATCH(L77,{"D","C","B","A","S","S+"},0),MATCH(M77,{"D","C","B","A","S","S+"},0)),"特",IF(MATCH(L77,{"D","C","B","A","S","S+"},0)&gt;MATCH(M77,{"D","C","B","A","S","S+"},0),"武","文"))</f>
        <v>武</v>
      </c>
      <c r="P77" s="9" t="str">
        <f t="shared" si="15"/>
        <v>特才</v>
      </c>
    </row>
    <row r="78" spans="1:16">
      <c r="A78" s="1">
        <v>77</v>
      </c>
      <c r="B78" s="1" t="s">
        <v>197</v>
      </c>
      <c r="C78" s="1">
        <v>28</v>
      </c>
      <c r="D78" s="1">
        <v>25</v>
      </c>
      <c r="E78" s="1">
        <v>88</v>
      </c>
      <c r="F78" s="1">
        <v>97</v>
      </c>
      <c r="G78" s="1">
        <v>77</v>
      </c>
      <c r="H78" s="1">
        <f t="shared" si="8"/>
        <v>315</v>
      </c>
      <c r="I78" s="1">
        <f t="shared" si="9"/>
        <v>26.5</v>
      </c>
      <c r="J78" s="1">
        <f t="shared" si="10"/>
        <v>92.5</v>
      </c>
      <c r="K78" s="1">
        <f t="shared" si="11"/>
        <v>97</v>
      </c>
      <c r="L78" s="7" t="str">
        <f t="shared" si="12"/>
        <v>D</v>
      </c>
      <c r="M78" s="2" t="str">
        <f t="shared" si="13"/>
        <v>S</v>
      </c>
      <c r="N78" s="2" t="str">
        <f t="shared" si="14"/>
        <v>S</v>
      </c>
      <c r="O78" s="9" t="str">
        <f>IF(MATCH(N78,{"D","C","B","A","S","S+"},0)&gt;MAX(MATCH(L78,{"D","C","B","A","S","S+"},0),MATCH(M78,{"D","C","B","A","S","S+"},0)),"特",IF(MATCH(L78,{"D","C","B","A","S","S+"},0)&gt;MATCH(M78,{"D","C","B","A","S","S+"},0),"武","文"))</f>
        <v>文</v>
      </c>
      <c r="P78" s="9" t="str">
        <f t="shared" si="15"/>
        <v>全能</v>
      </c>
    </row>
    <row r="79" spans="1:16">
      <c r="A79" s="1">
        <v>78</v>
      </c>
      <c r="B79" s="1" t="s">
        <v>198</v>
      </c>
      <c r="C79" s="1">
        <v>48</v>
      </c>
      <c r="D79" s="1">
        <v>54</v>
      </c>
      <c r="E79" s="1">
        <v>63</v>
      </c>
      <c r="F79" s="1">
        <v>78</v>
      </c>
      <c r="G79" s="1">
        <v>72</v>
      </c>
      <c r="H79" s="1">
        <f t="shared" si="8"/>
        <v>315</v>
      </c>
      <c r="I79" s="1">
        <f t="shared" si="9"/>
        <v>51</v>
      </c>
      <c r="J79" s="1">
        <f t="shared" si="10"/>
        <v>70.5</v>
      </c>
      <c r="K79" s="1">
        <f t="shared" si="11"/>
        <v>78</v>
      </c>
      <c r="L79" s="7" t="str">
        <f t="shared" si="12"/>
        <v>D</v>
      </c>
      <c r="M79" s="4" t="str">
        <f t="shared" si="13"/>
        <v>B</v>
      </c>
      <c r="N79" s="4" t="str">
        <f t="shared" si="14"/>
        <v>B</v>
      </c>
      <c r="O79" s="9" t="str">
        <f>IF(MATCH(N79,{"D","C","B","A","S","S+"},0)&gt;MAX(MATCH(L79,{"D","C","B","A","S","S+"},0),MATCH(M79,{"D","C","B","A","S","S+"},0)),"特",IF(MATCH(L79,{"D","C","B","A","S","S+"},0)&gt;MATCH(M79,{"D","C","B","A","S","S+"},0),"武","文"))</f>
        <v>文</v>
      </c>
      <c r="P79" s="9" t="str">
        <f t="shared" si="15"/>
        <v>特才</v>
      </c>
    </row>
    <row r="80" spans="1:16">
      <c r="A80" s="1">
        <v>79</v>
      </c>
      <c r="B80" s="1" t="s">
        <v>199</v>
      </c>
      <c r="C80" s="1">
        <v>24</v>
      </c>
      <c r="D80" s="1">
        <v>22</v>
      </c>
      <c r="E80" s="1">
        <v>89</v>
      </c>
      <c r="F80" s="1">
        <v>98</v>
      </c>
      <c r="G80" s="1">
        <v>78</v>
      </c>
      <c r="H80" s="1">
        <f t="shared" si="8"/>
        <v>311</v>
      </c>
      <c r="I80" s="1">
        <f t="shared" si="9"/>
        <v>23</v>
      </c>
      <c r="J80" s="1">
        <f t="shared" si="10"/>
        <v>93.5</v>
      </c>
      <c r="K80" s="1">
        <f t="shared" si="11"/>
        <v>98</v>
      </c>
      <c r="L80" s="7" t="str">
        <f t="shared" si="12"/>
        <v>D</v>
      </c>
      <c r="M80" s="2" t="str">
        <f t="shared" si="13"/>
        <v>S</v>
      </c>
      <c r="N80" s="2" t="str">
        <f t="shared" si="14"/>
        <v>S</v>
      </c>
      <c r="O80" s="9" t="str">
        <f>IF(MATCH(N80,{"D","C","B","A","S","S+"},0)&gt;MAX(MATCH(L80,{"D","C","B","A","S","S+"},0),MATCH(M80,{"D","C","B","A","S","S+"},0)),"特",IF(MATCH(L80,{"D","C","B","A","S","S+"},0)&gt;MATCH(M80,{"D","C","B","A","S","S+"},0),"武","文"))</f>
        <v>文</v>
      </c>
      <c r="P80" s="9" t="str">
        <f t="shared" si="15"/>
        <v>全能</v>
      </c>
    </row>
    <row r="81" spans="1:16">
      <c r="A81" s="1">
        <v>80</v>
      </c>
      <c r="B81" s="1" t="s">
        <v>200</v>
      </c>
      <c r="C81" s="1">
        <v>47</v>
      </c>
      <c r="D81" s="1">
        <v>34</v>
      </c>
      <c r="E81" s="1">
        <v>95</v>
      </c>
      <c r="F81" s="1">
        <v>75</v>
      </c>
      <c r="G81" s="1">
        <v>60</v>
      </c>
      <c r="H81" s="1">
        <f t="shared" si="8"/>
        <v>311</v>
      </c>
      <c r="I81" s="1">
        <f t="shared" si="9"/>
        <v>40.5</v>
      </c>
      <c r="J81" s="1">
        <f t="shared" si="10"/>
        <v>85</v>
      </c>
      <c r="K81" s="1">
        <f t="shared" si="11"/>
        <v>95</v>
      </c>
      <c r="L81" s="7" t="str">
        <f t="shared" si="12"/>
        <v>D</v>
      </c>
      <c r="M81" s="4" t="str">
        <f t="shared" si="13"/>
        <v>A</v>
      </c>
      <c r="N81" s="2" t="str">
        <f t="shared" si="14"/>
        <v>S</v>
      </c>
      <c r="O81" s="9" t="str">
        <f>IF(MATCH(N81,{"D","C","B","A","S","S+"},0)&gt;MAX(MATCH(L81,{"D","C","B","A","S","S+"},0),MATCH(M81,{"D","C","B","A","S","S+"},0)),"特",IF(MATCH(L81,{"D","C","B","A","S","S+"},0)&gt;MATCH(M81,{"D","C","B","A","S","S+"},0),"武","文"))</f>
        <v>特</v>
      </c>
      <c r="P81" s="9" t="str">
        <f t="shared" si="15"/>
        <v>文臣</v>
      </c>
    </row>
    <row r="82" spans="1:16">
      <c r="A82" s="1">
        <v>81</v>
      </c>
      <c r="B82" s="1" t="s">
        <v>201</v>
      </c>
      <c r="C82" s="1">
        <v>75</v>
      </c>
      <c r="D82" s="1">
        <v>89</v>
      </c>
      <c r="E82" s="1">
        <v>48</v>
      </c>
      <c r="F82" s="1">
        <v>33</v>
      </c>
      <c r="G82" s="1">
        <v>66</v>
      </c>
      <c r="H82" s="1">
        <f t="shared" si="8"/>
        <v>311</v>
      </c>
      <c r="I82" s="1">
        <f t="shared" si="9"/>
        <v>82</v>
      </c>
      <c r="J82" s="1">
        <f t="shared" si="10"/>
        <v>40.5</v>
      </c>
      <c r="K82" s="1">
        <f t="shared" si="11"/>
        <v>89</v>
      </c>
      <c r="L82" s="4" t="str">
        <f t="shared" si="12"/>
        <v>A</v>
      </c>
      <c r="M82" s="7" t="str">
        <f t="shared" si="13"/>
        <v>D</v>
      </c>
      <c r="N82" s="4" t="str">
        <f t="shared" si="14"/>
        <v>A</v>
      </c>
      <c r="O82" s="9" t="str">
        <f>IF(MATCH(N82,{"D","C","B","A","S","S+"},0)&gt;MAX(MATCH(L82,{"D","C","B","A","S","S+"},0),MATCH(M82,{"D","C","B","A","S","S+"},0)),"特",IF(MATCH(L82,{"D","C","B","A","S","S+"},0)&gt;MATCH(M82,{"D","C","B","A","S","S+"},0),"武","文"))</f>
        <v>武</v>
      </c>
      <c r="P82" s="9" t="str">
        <f t="shared" si="15"/>
        <v>特才</v>
      </c>
    </row>
    <row r="83" spans="1:16">
      <c r="A83" s="1">
        <v>82</v>
      </c>
      <c r="B83" s="1" t="s">
        <v>202</v>
      </c>
      <c r="C83" s="1">
        <v>88</v>
      </c>
      <c r="D83" s="1">
        <v>90</v>
      </c>
      <c r="E83" s="1">
        <v>50</v>
      </c>
      <c r="F83" s="1">
        <v>30</v>
      </c>
      <c r="G83" s="1">
        <v>55</v>
      </c>
      <c r="H83" s="1">
        <f t="shared" si="8"/>
        <v>313</v>
      </c>
      <c r="I83" s="1">
        <f t="shared" si="9"/>
        <v>89</v>
      </c>
      <c r="J83" s="1">
        <f t="shared" si="10"/>
        <v>40</v>
      </c>
      <c r="K83" s="1">
        <f t="shared" si="11"/>
        <v>90</v>
      </c>
      <c r="L83" s="4" t="str">
        <f t="shared" si="12"/>
        <v>A</v>
      </c>
      <c r="M83" s="7" t="str">
        <f t="shared" si="13"/>
        <v>D</v>
      </c>
      <c r="N83" s="2" t="str">
        <f t="shared" si="14"/>
        <v>S</v>
      </c>
      <c r="O83" s="9" t="str">
        <f>IF(MATCH(N83,{"D","C","B","A","S","S+"},0)&gt;MAX(MATCH(L83,{"D","C","B","A","S","S+"},0),MATCH(M83,{"D","C","B","A","S","S+"},0)),"特",IF(MATCH(L83,{"D","C","B","A","S","S+"},0)&gt;MATCH(M83,{"D","C","B","A","S","S+"},0),"武","文"))</f>
        <v>特</v>
      </c>
      <c r="P83" s="9" t="str">
        <f t="shared" si="15"/>
        <v>特才</v>
      </c>
    </row>
    <row r="84" spans="1:16">
      <c r="A84" s="1">
        <v>83</v>
      </c>
      <c r="B84" s="1" t="s">
        <v>203</v>
      </c>
      <c r="C84" s="1">
        <v>68</v>
      </c>
      <c r="D84" s="1">
        <v>71</v>
      </c>
      <c r="E84" s="1">
        <v>58</v>
      </c>
      <c r="F84" s="1">
        <v>52</v>
      </c>
      <c r="G84" s="1">
        <v>70</v>
      </c>
      <c r="H84" s="1">
        <f t="shared" si="8"/>
        <v>319</v>
      </c>
      <c r="I84" s="1">
        <f t="shared" si="9"/>
        <v>69.5</v>
      </c>
      <c r="J84" s="1">
        <f t="shared" si="10"/>
        <v>55</v>
      </c>
      <c r="K84" s="1">
        <f t="shared" si="11"/>
        <v>71</v>
      </c>
      <c r="L84" s="6" t="str">
        <f t="shared" si="12"/>
        <v>C</v>
      </c>
      <c r="M84" s="7" t="str">
        <f t="shared" si="13"/>
        <v>D</v>
      </c>
      <c r="N84" s="5" t="str">
        <f t="shared" si="14"/>
        <v>B</v>
      </c>
      <c r="O84" s="9" t="str">
        <f>IF(MATCH(N84,{"D","C","B","A","S","S+"},0)&gt;MAX(MATCH(L84,{"D","C","B","A","S","S+"},0),MATCH(M84,{"D","C","B","A","S","S+"},0)),"特",IF(MATCH(L84,{"D","C","B","A","S","S+"},0)&gt;MATCH(M84,{"D","C","B","A","S","S+"},0),"武","文"))</f>
        <v>特</v>
      </c>
      <c r="P84" s="9" t="str">
        <f t="shared" si="15"/>
        <v>特才</v>
      </c>
    </row>
    <row r="85" spans="1:16">
      <c r="A85" s="1">
        <v>84</v>
      </c>
      <c r="B85" s="1" t="s">
        <v>204</v>
      </c>
      <c r="C85" s="1">
        <v>39</v>
      </c>
      <c r="D85" s="1">
        <v>32</v>
      </c>
      <c r="E85" s="1">
        <v>86</v>
      </c>
      <c r="F85" s="1">
        <v>87</v>
      </c>
      <c r="G85" s="1">
        <v>78</v>
      </c>
      <c r="H85" s="1">
        <f t="shared" si="8"/>
        <v>322</v>
      </c>
      <c r="I85" s="1">
        <f t="shared" si="9"/>
        <v>35.5</v>
      </c>
      <c r="J85" s="1">
        <f t="shared" si="10"/>
        <v>86.5</v>
      </c>
      <c r="K85" s="1">
        <f t="shared" si="11"/>
        <v>87</v>
      </c>
      <c r="L85" s="7" t="str">
        <f t="shared" si="12"/>
        <v>D</v>
      </c>
      <c r="M85" s="4" t="str">
        <f t="shared" si="13"/>
        <v>A</v>
      </c>
      <c r="N85" s="4" t="str">
        <f t="shared" si="14"/>
        <v>A</v>
      </c>
      <c r="O85" s="9" t="str">
        <f>IF(MATCH(N85,{"D","C","B","A","S","S+"},0)&gt;MAX(MATCH(L85,{"D","C","B","A","S","S+"},0),MATCH(M85,{"D","C","B","A","S","S+"},0)),"特",IF(MATCH(L85,{"D","C","B","A","S","S+"},0)&gt;MATCH(M85,{"D","C","B","A","S","S+"},0),"武","文"))</f>
        <v>文</v>
      </c>
      <c r="P85" s="9" t="str">
        <f t="shared" si="15"/>
        <v>文臣</v>
      </c>
    </row>
    <row r="86" spans="1:16">
      <c r="A86" s="1">
        <v>85</v>
      </c>
      <c r="B86" s="1" t="s">
        <v>205</v>
      </c>
      <c r="C86" s="1">
        <v>80</v>
      </c>
      <c r="D86" s="1">
        <v>87</v>
      </c>
      <c r="E86" s="1">
        <v>43</v>
      </c>
      <c r="F86" s="1">
        <v>39</v>
      </c>
      <c r="G86" s="1">
        <v>76</v>
      </c>
      <c r="H86" s="1">
        <f t="shared" si="8"/>
        <v>325</v>
      </c>
      <c r="I86" s="1">
        <f t="shared" si="9"/>
        <v>83.5</v>
      </c>
      <c r="J86" s="1">
        <f t="shared" si="10"/>
        <v>41</v>
      </c>
      <c r="K86" s="1">
        <f t="shared" si="11"/>
        <v>87</v>
      </c>
      <c r="L86" s="4" t="str">
        <f t="shared" si="12"/>
        <v>A</v>
      </c>
      <c r="M86" s="7" t="str">
        <f t="shared" si="13"/>
        <v>D</v>
      </c>
      <c r="N86" s="4" t="str">
        <f t="shared" si="14"/>
        <v>A</v>
      </c>
      <c r="O86" s="9" t="str">
        <f>IF(MATCH(N86,{"D","C","B","A","S","S+"},0)&gt;MAX(MATCH(L86,{"D","C","B","A","S","S+"},0),MATCH(M86,{"D","C","B","A","S","S+"},0)),"特",IF(MATCH(L86,{"D","C","B","A","S","S+"},0)&gt;MATCH(M86,{"D","C","B","A","S","S+"},0),"武","文"))</f>
        <v>武</v>
      </c>
      <c r="P86" s="9" t="str">
        <f t="shared" si="15"/>
        <v>特才</v>
      </c>
    </row>
    <row r="87" spans="1:16">
      <c r="A87" s="1">
        <v>86</v>
      </c>
      <c r="B87" s="1" t="s">
        <v>206</v>
      </c>
      <c r="C87" s="1">
        <v>25</v>
      </c>
      <c r="D87" s="1">
        <v>18</v>
      </c>
      <c r="E87" s="1">
        <v>98</v>
      </c>
      <c r="F87" s="1">
        <v>85</v>
      </c>
      <c r="G87" s="1">
        <v>75</v>
      </c>
      <c r="H87" s="1">
        <f t="shared" si="8"/>
        <v>301</v>
      </c>
      <c r="I87" s="1">
        <f t="shared" si="9"/>
        <v>21.5</v>
      </c>
      <c r="J87" s="1">
        <f t="shared" si="10"/>
        <v>91.5</v>
      </c>
      <c r="K87" s="1">
        <f t="shared" si="11"/>
        <v>98</v>
      </c>
      <c r="L87" s="7" t="str">
        <f t="shared" si="12"/>
        <v>D</v>
      </c>
      <c r="M87" s="2" t="str">
        <f t="shared" si="13"/>
        <v>S</v>
      </c>
      <c r="N87" s="2" t="str">
        <f t="shared" si="14"/>
        <v>S</v>
      </c>
      <c r="O87" s="9" t="str">
        <f>IF(MATCH(N87,{"D","C","B","A","S","S+"},0)&gt;MAX(MATCH(L87,{"D","C","B","A","S","S+"},0),MATCH(M87,{"D","C","B","A","S","S+"},0)),"特",IF(MATCH(L87,{"D","C","B","A","S","S+"},0)&gt;MATCH(M87,{"D","C","B","A","S","S+"},0),"武","文"))</f>
        <v>文</v>
      </c>
      <c r="P87" s="9" t="str">
        <f t="shared" si="15"/>
        <v>全能</v>
      </c>
    </row>
    <row r="88" spans="1:16">
      <c r="A88" s="1">
        <v>87</v>
      </c>
      <c r="B88" s="1" t="s">
        <v>207</v>
      </c>
      <c r="C88" s="1">
        <v>83</v>
      </c>
      <c r="D88" s="1">
        <v>95</v>
      </c>
      <c r="E88" s="1">
        <v>42</v>
      </c>
      <c r="F88" s="1">
        <v>28</v>
      </c>
      <c r="G88" s="1">
        <v>59</v>
      </c>
      <c r="H88" s="1">
        <f t="shared" si="8"/>
        <v>307</v>
      </c>
      <c r="I88" s="1">
        <f t="shared" si="9"/>
        <v>89</v>
      </c>
      <c r="J88" s="1">
        <f t="shared" si="10"/>
        <v>35</v>
      </c>
      <c r="K88" s="1">
        <f t="shared" si="11"/>
        <v>95</v>
      </c>
      <c r="L88" s="4" t="str">
        <f t="shared" si="12"/>
        <v>A</v>
      </c>
      <c r="M88" s="7" t="str">
        <f t="shared" si="13"/>
        <v>D</v>
      </c>
      <c r="N88" s="2" t="str">
        <f t="shared" si="14"/>
        <v>S</v>
      </c>
      <c r="O88" s="9" t="str">
        <f>IF(MATCH(N88,{"D","C","B","A","S","S+"},0)&gt;MAX(MATCH(L88,{"D","C","B","A","S","S+"},0),MATCH(M88,{"D","C","B","A","S","S+"},0)),"特",IF(MATCH(L88,{"D","C","B","A","S","S+"},0)&gt;MATCH(M88,{"D","C","B","A","S","S+"},0),"武","文"))</f>
        <v>特</v>
      </c>
      <c r="P88" s="9" t="str">
        <f t="shared" si="15"/>
        <v>特才</v>
      </c>
    </row>
    <row r="89" spans="1:16">
      <c r="A89" s="1">
        <v>88</v>
      </c>
      <c r="B89" s="1" t="s">
        <v>208</v>
      </c>
      <c r="C89" s="1">
        <v>70</v>
      </c>
      <c r="D89" s="1">
        <v>98</v>
      </c>
      <c r="E89" s="1">
        <v>36</v>
      </c>
      <c r="F89" s="1">
        <v>26</v>
      </c>
      <c r="G89" s="1">
        <v>75</v>
      </c>
      <c r="H89" s="1">
        <f t="shared" si="8"/>
        <v>305</v>
      </c>
      <c r="I89" s="1">
        <f t="shared" si="9"/>
        <v>84</v>
      </c>
      <c r="J89" s="1">
        <f t="shared" si="10"/>
        <v>31</v>
      </c>
      <c r="K89" s="1">
        <f t="shared" si="11"/>
        <v>98</v>
      </c>
      <c r="L89" s="4" t="str">
        <f t="shared" si="12"/>
        <v>A</v>
      </c>
      <c r="M89" s="7" t="str">
        <f t="shared" si="13"/>
        <v>D</v>
      </c>
      <c r="N89" s="2" t="str">
        <f t="shared" si="14"/>
        <v>S</v>
      </c>
      <c r="O89" s="9" t="str">
        <f>IF(MATCH(N89,{"D","C","B","A","S","S+"},0)&gt;MAX(MATCH(L89,{"D","C","B","A","S","S+"},0),MATCH(M89,{"D","C","B","A","S","S+"},0)),"特",IF(MATCH(L89,{"D","C","B","A","S","S+"},0)&gt;MATCH(M89,{"D","C","B","A","S","S+"},0),"武","文"))</f>
        <v>特</v>
      </c>
      <c r="P89" s="9" t="str">
        <f t="shared" si="15"/>
        <v>特才</v>
      </c>
    </row>
    <row r="90" spans="1:16">
      <c r="A90" s="1">
        <v>89</v>
      </c>
      <c r="B90" s="1" t="s">
        <v>209</v>
      </c>
      <c r="C90" s="1">
        <v>72</v>
      </c>
      <c r="D90" s="1">
        <v>98</v>
      </c>
      <c r="E90" s="1">
        <v>29</v>
      </c>
      <c r="F90" s="1">
        <v>27</v>
      </c>
      <c r="G90" s="1">
        <v>73</v>
      </c>
      <c r="H90" s="1">
        <f t="shared" si="8"/>
        <v>299</v>
      </c>
      <c r="I90" s="1">
        <f t="shared" si="9"/>
        <v>85</v>
      </c>
      <c r="J90" s="1">
        <f t="shared" si="10"/>
        <v>28</v>
      </c>
      <c r="K90" s="1">
        <f t="shared" si="11"/>
        <v>98</v>
      </c>
      <c r="L90" s="4" t="str">
        <f t="shared" si="12"/>
        <v>A</v>
      </c>
      <c r="M90" s="7" t="str">
        <f t="shared" si="13"/>
        <v>D</v>
      </c>
      <c r="N90" s="2" t="str">
        <f t="shared" si="14"/>
        <v>S</v>
      </c>
      <c r="O90" s="9" t="str">
        <f>IF(MATCH(N90,{"D","C","B","A","S","S+"},0)&gt;MAX(MATCH(L90,{"D","C","B","A","S","S+"},0),MATCH(M90,{"D","C","B","A","S","S+"},0)),"特",IF(MATCH(L90,{"D","C","B","A","S","S+"},0)&gt;MATCH(M90,{"D","C","B","A","S","S+"},0),"武","文"))</f>
        <v>特</v>
      </c>
      <c r="P90" s="9" t="str">
        <f t="shared" si="15"/>
        <v>特才</v>
      </c>
    </row>
    <row r="91" spans="1:16">
      <c r="A91" s="1">
        <v>90</v>
      </c>
      <c r="B91" s="1" t="s">
        <v>210</v>
      </c>
      <c r="C91" s="1">
        <v>84</v>
      </c>
      <c r="D91" s="1">
        <v>94</v>
      </c>
      <c r="E91" s="1">
        <v>38</v>
      </c>
      <c r="F91" s="1">
        <v>25</v>
      </c>
      <c r="G91" s="1">
        <v>58</v>
      </c>
      <c r="H91" s="1">
        <f t="shared" si="8"/>
        <v>299</v>
      </c>
      <c r="I91" s="1">
        <f t="shared" si="9"/>
        <v>89</v>
      </c>
      <c r="J91" s="1">
        <f t="shared" si="10"/>
        <v>31.5</v>
      </c>
      <c r="K91" s="1">
        <f t="shared" si="11"/>
        <v>94</v>
      </c>
      <c r="L91" s="4" t="str">
        <f t="shared" si="12"/>
        <v>A</v>
      </c>
      <c r="M91" s="7" t="str">
        <f t="shared" si="13"/>
        <v>D</v>
      </c>
      <c r="N91" s="2" t="str">
        <f t="shared" si="14"/>
        <v>S</v>
      </c>
      <c r="O91" s="9" t="str">
        <f>IF(MATCH(N91,{"D","C","B","A","S","S+"},0)&gt;MAX(MATCH(L91,{"D","C","B","A","S","S+"},0),MATCH(M91,{"D","C","B","A","S","S+"},0)),"特",IF(MATCH(L91,{"D","C","B","A","S","S+"},0)&gt;MATCH(M91,{"D","C","B","A","S","S+"},0),"武","文"))</f>
        <v>特</v>
      </c>
      <c r="P91" s="9" t="str">
        <f t="shared" si="15"/>
        <v>特才</v>
      </c>
    </row>
    <row r="92" spans="1:16">
      <c r="A92" s="1">
        <v>91</v>
      </c>
      <c r="B92" s="1" t="s">
        <v>211</v>
      </c>
      <c r="C92" s="1">
        <v>65</v>
      </c>
      <c r="D92" s="1">
        <v>89</v>
      </c>
      <c r="E92" s="1">
        <v>40</v>
      </c>
      <c r="F92" s="1">
        <v>35</v>
      </c>
      <c r="G92" s="1">
        <v>70</v>
      </c>
      <c r="H92" s="1">
        <f t="shared" si="8"/>
        <v>299</v>
      </c>
      <c r="I92" s="1">
        <f t="shared" si="9"/>
        <v>77</v>
      </c>
      <c r="J92" s="1">
        <f t="shared" si="10"/>
        <v>37.5</v>
      </c>
      <c r="K92" s="1">
        <f t="shared" si="11"/>
        <v>89</v>
      </c>
      <c r="L92" s="5" t="str">
        <f t="shared" si="12"/>
        <v>B</v>
      </c>
      <c r="M92" s="7" t="str">
        <f t="shared" si="13"/>
        <v>D</v>
      </c>
      <c r="N92" s="4" t="str">
        <f t="shared" si="14"/>
        <v>A</v>
      </c>
      <c r="O92" s="9" t="str">
        <f>IF(MATCH(N92,{"D","C","B","A","S","S+"},0)&gt;MAX(MATCH(L92,{"D","C","B","A","S","S+"},0),MATCH(M92,{"D","C","B","A","S","S+"},0)),"特",IF(MATCH(L92,{"D","C","B","A","S","S+"},0)&gt;MATCH(M92,{"D","C","B","A","S","S+"},0),"武","文"))</f>
        <v>特</v>
      </c>
      <c r="P92" s="9" t="str">
        <f t="shared" si="15"/>
        <v>特才</v>
      </c>
    </row>
    <row r="93" spans="1:16">
      <c r="A93" s="1">
        <v>92</v>
      </c>
      <c r="B93" s="1" t="s">
        <v>212</v>
      </c>
      <c r="C93" s="1">
        <v>68</v>
      </c>
      <c r="D93" s="1">
        <v>90</v>
      </c>
      <c r="E93" s="1">
        <v>30</v>
      </c>
      <c r="F93" s="1">
        <v>22</v>
      </c>
      <c r="G93" s="1">
        <v>48</v>
      </c>
      <c r="H93" s="1">
        <f t="shared" si="8"/>
        <v>258</v>
      </c>
      <c r="I93" s="1">
        <f t="shared" si="9"/>
        <v>79</v>
      </c>
      <c r="J93" s="1">
        <f t="shared" si="10"/>
        <v>26</v>
      </c>
      <c r="K93" s="1">
        <f t="shared" si="11"/>
        <v>90</v>
      </c>
      <c r="L93" s="5" t="str">
        <f t="shared" si="12"/>
        <v>B</v>
      </c>
      <c r="M93" s="7" t="str">
        <f t="shared" si="13"/>
        <v>D</v>
      </c>
      <c r="N93" s="2" t="str">
        <f t="shared" si="14"/>
        <v>S</v>
      </c>
      <c r="O93" s="9" t="str">
        <f>IF(MATCH(N93,{"D","C","B","A","S","S+"},0)&gt;MAX(MATCH(L93,{"D","C","B","A","S","S+"},0),MATCH(M93,{"D","C","B","A","S","S+"},0)),"特",IF(MATCH(L93,{"D","C","B","A","S","S+"},0)&gt;MATCH(M93,{"D","C","B","A","S","S+"},0),"武","文"))</f>
        <v>特</v>
      </c>
      <c r="P93" s="9" t="str">
        <f t="shared" si="15"/>
        <v>特才</v>
      </c>
    </row>
    <row r="94" spans="1:16">
      <c r="A94" s="1">
        <v>93</v>
      </c>
      <c r="B94" s="1" t="s">
        <v>213</v>
      </c>
      <c r="C94" s="1">
        <v>86</v>
      </c>
      <c r="D94" s="1">
        <v>78</v>
      </c>
      <c r="E94" s="1">
        <v>72</v>
      </c>
      <c r="F94" s="1">
        <v>56</v>
      </c>
      <c r="G94" s="1">
        <v>68</v>
      </c>
      <c r="H94" s="1">
        <f t="shared" si="8"/>
        <v>360</v>
      </c>
      <c r="I94" s="1">
        <f t="shared" si="9"/>
        <v>82</v>
      </c>
      <c r="J94" s="1">
        <f t="shared" si="10"/>
        <v>64</v>
      </c>
      <c r="K94" s="1">
        <f t="shared" si="11"/>
        <v>86</v>
      </c>
      <c r="L94" s="4" t="str">
        <f t="shared" si="12"/>
        <v>A</v>
      </c>
      <c r="M94" s="6" t="str">
        <f t="shared" si="13"/>
        <v>C</v>
      </c>
      <c r="N94" s="4" t="str">
        <f t="shared" si="14"/>
        <v>A</v>
      </c>
      <c r="O94" s="9" t="str">
        <f>IF(MATCH(N94,{"D","C","B","A","S","S+"},0)&gt;MAX(MATCH(L94,{"D","C","B","A","S","S+"},0),MATCH(M94,{"D","C","B","A","S","S+"},0)),"特",IF(MATCH(L94,{"D","C","B","A","S","S+"},0)&gt;MATCH(M94,{"D","C","B","A","S","S+"},0),"武","文"))</f>
        <v>武</v>
      </c>
      <c r="P94" s="9" t="str">
        <f t="shared" si="15"/>
        <v>特才</v>
      </c>
    </row>
    <row r="95" spans="1:16">
      <c r="A95" s="1">
        <v>94</v>
      </c>
      <c r="B95" s="1" t="s">
        <v>214</v>
      </c>
      <c r="C95" s="1">
        <v>88</v>
      </c>
      <c r="D95" s="1">
        <v>82</v>
      </c>
      <c r="E95" s="1">
        <v>76</v>
      </c>
      <c r="F95" s="1">
        <v>42</v>
      </c>
      <c r="G95" s="1">
        <v>58</v>
      </c>
      <c r="H95" s="1">
        <f t="shared" si="8"/>
        <v>346</v>
      </c>
      <c r="I95" s="1">
        <f t="shared" si="9"/>
        <v>85</v>
      </c>
      <c r="J95" s="1">
        <f t="shared" si="10"/>
        <v>59</v>
      </c>
      <c r="K95" s="1">
        <f t="shared" si="11"/>
        <v>88</v>
      </c>
      <c r="L95" s="4" t="str">
        <f t="shared" si="12"/>
        <v>A</v>
      </c>
      <c r="M95" s="7" t="str">
        <f t="shared" si="13"/>
        <v>D</v>
      </c>
      <c r="N95" s="4" t="str">
        <f t="shared" si="14"/>
        <v>A</v>
      </c>
      <c r="O95" s="9" t="str">
        <f>IF(MATCH(N95,{"D","C","B","A","S","S+"},0)&gt;MAX(MATCH(L95,{"D","C","B","A","S","S+"},0),MATCH(M95,{"D","C","B","A","S","S+"},0)),"特",IF(MATCH(L95,{"D","C","B","A","S","S+"},0)&gt;MATCH(M95,{"D","C","B","A","S","S+"},0),"武","文"))</f>
        <v>武</v>
      </c>
      <c r="P95" s="9" t="str">
        <f t="shared" si="15"/>
        <v>特才</v>
      </c>
    </row>
    <row r="96" spans="1:16">
      <c r="A96" s="1">
        <v>95</v>
      </c>
      <c r="B96" s="1" t="s">
        <v>215</v>
      </c>
      <c r="C96" s="1">
        <v>87</v>
      </c>
      <c r="D96" s="1">
        <v>80</v>
      </c>
      <c r="E96" s="1">
        <v>79</v>
      </c>
      <c r="F96" s="1">
        <v>66</v>
      </c>
      <c r="G96" s="1">
        <v>57</v>
      </c>
      <c r="H96" s="1">
        <f t="shared" si="8"/>
        <v>369</v>
      </c>
      <c r="I96" s="1">
        <f t="shared" si="9"/>
        <v>83.5</v>
      </c>
      <c r="J96" s="1">
        <f t="shared" si="10"/>
        <v>72.5</v>
      </c>
      <c r="K96" s="1">
        <f t="shared" si="11"/>
        <v>87</v>
      </c>
      <c r="L96" s="4" t="str">
        <f t="shared" si="12"/>
        <v>A</v>
      </c>
      <c r="M96" s="5" t="str">
        <f t="shared" si="13"/>
        <v>B</v>
      </c>
      <c r="N96" s="4" t="str">
        <f t="shared" si="14"/>
        <v>A</v>
      </c>
      <c r="O96" s="9" t="str">
        <f>IF(MATCH(N96,{"D","C","B","A","S","S+"},0)&gt;MAX(MATCH(L96,{"D","C","B","A","S","S+"},0),MATCH(M96,{"D","C","B","A","S","S+"},0)),"特",IF(MATCH(L96,{"D","C","B","A","S","S+"},0)&gt;MATCH(M96,{"D","C","B","A","S","S+"},0),"武","文"))</f>
        <v>武</v>
      </c>
      <c r="P96" s="9" t="str">
        <f t="shared" si="15"/>
        <v>特才</v>
      </c>
    </row>
    <row r="97" spans="1:16">
      <c r="A97" s="1">
        <v>96</v>
      </c>
      <c r="B97" s="1" t="s">
        <v>216</v>
      </c>
      <c r="C97" s="1">
        <v>74</v>
      </c>
      <c r="D97" s="1">
        <v>56</v>
      </c>
      <c r="E97" s="1">
        <v>82</v>
      </c>
      <c r="F97" s="1">
        <v>90</v>
      </c>
      <c r="G97" s="1">
        <v>78</v>
      </c>
      <c r="H97" s="1">
        <f t="shared" si="8"/>
        <v>380</v>
      </c>
      <c r="I97" s="1">
        <f t="shared" si="9"/>
        <v>65</v>
      </c>
      <c r="J97" s="1">
        <f t="shared" si="10"/>
        <v>86</v>
      </c>
      <c r="K97" s="1">
        <f t="shared" si="11"/>
        <v>90</v>
      </c>
      <c r="L97" s="6" t="str">
        <f t="shared" si="12"/>
        <v>C</v>
      </c>
      <c r="M97" s="4" t="str">
        <f t="shared" si="13"/>
        <v>A</v>
      </c>
      <c r="N97" s="2" t="str">
        <f t="shared" si="14"/>
        <v>S</v>
      </c>
      <c r="O97" s="9" t="str">
        <f>IF(MATCH(N97,{"D","C","B","A","S","S+"},0)&gt;MAX(MATCH(L97,{"D","C","B","A","S","S+"},0),MATCH(M97,{"D","C","B","A","S","S+"},0)),"特",IF(MATCH(L97,{"D","C","B","A","S","S+"},0)&gt;MATCH(M97,{"D","C","B","A","S","S+"},0),"武","文"))</f>
        <v>特</v>
      </c>
      <c r="P97" s="9" t="str">
        <f t="shared" si="15"/>
        <v>文臣</v>
      </c>
    </row>
    <row r="98" spans="1:16">
      <c r="A98" s="1">
        <v>97</v>
      </c>
      <c r="B98" s="1" t="s">
        <v>217</v>
      </c>
      <c r="C98" s="1">
        <v>62</v>
      </c>
      <c r="D98" s="1">
        <v>38</v>
      </c>
      <c r="E98" s="1">
        <v>86</v>
      </c>
      <c r="F98" s="1">
        <v>94</v>
      </c>
      <c r="G98" s="1">
        <v>82</v>
      </c>
      <c r="H98" s="1">
        <f t="shared" si="8"/>
        <v>362</v>
      </c>
      <c r="I98" s="1">
        <f t="shared" si="9"/>
        <v>50</v>
      </c>
      <c r="J98" s="1">
        <f t="shared" si="10"/>
        <v>90</v>
      </c>
      <c r="K98" s="1">
        <f t="shared" si="11"/>
        <v>94</v>
      </c>
      <c r="L98" s="7" t="str">
        <f t="shared" si="12"/>
        <v>D</v>
      </c>
      <c r="M98" s="2" t="str">
        <f t="shared" si="13"/>
        <v>S</v>
      </c>
      <c r="N98" s="2" t="str">
        <f t="shared" si="14"/>
        <v>S</v>
      </c>
      <c r="O98" s="9" t="str">
        <f>IF(MATCH(N98,{"D","C","B","A","S","S+"},0)&gt;MAX(MATCH(L98,{"D","C","B","A","S","S+"},0),MATCH(M98,{"D","C","B","A","S","S+"},0)),"特",IF(MATCH(L98,{"D","C","B","A","S","S+"},0)&gt;MATCH(M98,{"D","C","B","A","S","S+"},0),"武","文"))</f>
        <v>文</v>
      </c>
      <c r="P98" s="9" t="str">
        <f t="shared" si="15"/>
        <v>全能</v>
      </c>
    </row>
    <row r="99" spans="1:16">
      <c r="A99" s="1">
        <v>98</v>
      </c>
      <c r="B99" s="1" t="s">
        <v>218</v>
      </c>
      <c r="C99" s="1">
        <v>68</v>
      </c>
      <c r="D99" s="1">
        <v>44</v>
      </c>
      <c r="E99" s="1">
        <v>87</v>
      </c>
      <c r="F99" s="1">
        <v>93</v>
      </c>
      <c r="G99" s="1">
        <v>81</v>
      </c>
      <c r="H99" s="1">
        <f t="shared" si="8"/>
        <v>373</v>
      </c>
      <c r="I99" s="1">
        <f t="shared" si="9"/>
        <v>56</v>
      </c>
      <c r="J99" s="1">
        <f t="shared" si="10"/>
        <v>90</v>
      </c>
      <c r="K99" s="1">
        <f t="shared" si="11"/>
        <v>93</v>
      </c>
      <c r="L99" s="7" t="str">
        <f t="shared" si="12"/>
        <v>D</v>
      </c>
      <c r="M99" s="2" t="str">
        <f t="shared" si="13"/>
        <v>S</v>
      </c>
      <c r="N99" s="2" t="str">
        <f t="shared" si="14"/>
        <v>S</v>
      </c>
      <c r="O99" s="9" t="str">
        <f>IF(MATCH(N99,{"D","C","B","A","S","S+"},0)&gt;MAX(MATCH(L99,{"D","C","B","A","S","S+"},0),MATCH(M99,{"D","C","B","A","S","S+"},0)),"特",IF(MATCH(L99,{"D","C","B","A","S","S+"},0)&gt;MATCH(M99,{"D","C","B","A","S","S+"},0),"武","文"))</f>
        <v>文</v>
      </c>
      <c r="P99" s="9" t="str">
        <f t="shared" si="15"/>
        <v>全能</v>
      </c>
    </row>
    <row r="100" spans="1:16">
      <c r="A100" s="1">
        <v>99</v>
      </c>
      <c r="B100" s="1" t="s">
        <v>219</v>
      </c>
      <c r="C100" s="1">
        <v>52</v>
      </c>
      <c r="D100" s="1">
        <v>36</v>
      </c>
      <c r="E100" s="1">
        <v>84</v>
      </c>
      <c r="F100" s="1">
        <v>92</v>
      </c>
      <c r="G100" s="1">
        <v>86</v>
      </c>
      <c r="H100" s="1">
        <f t="shared" si="8"/>
        <v>350</v>
      </c>
      <c r="I100" s="1">
        <f t="shared" si="9"/>
        <v>44</v>
      </c>
      <c r="J100" s="1">
        <f t="shared" si="10"/>
        <v>88</v>
      </c>
      <c r="K100" s="1">
        <f t="shared" si="11"/>
        <v>92</v>
      </c>
      <c r="L100" s="7" t="str">
        <f t="shared" si="12"/>
        <v>D</v>
      </c>
      <c r="M100" s="4" t="str">
        <f t="shared" si="13"/>
        <v>A</v>
      </c>
      <c r="N100" s="2" t="str">
        <f t="shared" si="14"/>
        <v>S</v>
      </c>
      <c r="O100" s="9" t="str">
        <f>IF(MATCH(N100,{"D","C","B","A","S","S+"},0)&gt;MAX(MATCH(L100,{"D","C","B","A","S","S+"},0),MATCH(M100,{"D","C","B","A","S","S+"},0)),"特",IF(MATCH(L100,{"D","C","B","A","S","S+"},0)&gt;MATCH(M100,{"D","C","B","A","S","S+"},0),"武","文"))</f>
        <v>特</v>
      </c>
      <c r="P100" s="9" t="str">
        <f t="shared" si="15"/>
        <v>文臣</v>
      </c>
    </row>
    <row r="101" spans="1:16">
      <c r="A101" s="1">
        <v>100</v>
      </c>
      <c r="B101" s="1" t="s">
        <v>220</v>
      </c>
      <c r="C101" s="1">
        <v>84</v>
      </c>
      <c r="D101" s="1">
        <v>80</v>
      </c>
      <c r="E101" s="1">
        <v>71</v>
      </c>
      <c r="F101" s="1">
        <v>59</v>
      </c>
      <c r="G101" s="1">
        <v>67</v>
      </c>
      <c r="H101" s="1">
        <f t="shared" si="8"/>
        <v>361</v>
      </c>
      <c r="I101" s="1">
        <f t="shared" si="9"/>
        <v>82</v>
      </c>
      <c r="J101" s="1">
        <f t="shared" si="10"/>
        <v>65</v>
      </c>
      <c r="K101" s="1">
        <f t="shared" si="11"/>
        <v>84</v>
      </c>
      <c r="L101" s="4" t="str">
        <f t="shared" si="12"/>
        <v>A</v>
      </c>
      <c r="M101" s="6" t="str">
        <f t="shared" si="13"/>
        <v>C</v>
      </c>
      <c r="N101" s="4" t="str">
        <f t="shared" si="14"/>
        <v>A</v>
      </c>
      <c r="O101" s="9" t="str">
        <f>IF(MATCH(N101,{"D","C","B","A","S","S+"},0)&gt;MAX(MATCH(L101,{"D","C","B","A","S","S+"},0),MATCH(M101,{"D","C","B","A","S","S+"},0)),"特",IF(MATCH(L101,{"D","C","B","A","S","S+"},0)&gt;MATCH(M101,{"D","C","B","A","S","S+"},0),"武","文"))</f>
        <v>武</v>
      </c>
      <c r="P101" s="9" t="str">
        <f t="shared" si="15"/>
        <v>特才</v>
      </c>
    </row>
    <row r="102" spans="1:16">
      <c r="A102" s="1">
        <v>101</v>
      </c>
      <c r="B102" s="1" t="s">
        <v>221</v>
      </c>
      <c r="C102" s="1">
        <v>90</v>
      </c>
      <c r="D102" s="1">
        <v>98</v>
      </c>
      <c r="E102" s="1">
        <v>30</v>
      </c>
      <c r="F102" s="1">
        <v>22</v>
      </c>
      <c r="G102" s="1">
        <v>40</v>
      </c>
      <c r="H102" s="1">
        <f t="shared" si="8"/>
        <v>280</v>
      </c>
      <c r="I102" s="1">
        <f t="shared" si="9"/>
        <v>94</v>
      </c>
      <c r="J102" s="1">
        <f t="shared" si="10"/>
        <v>26</v>
      </c>
      <c r="K102" s="1">
        <f t="shared" si="11"/>
        <v>98</v>
      </c>
      <c r="L102" s="2" t="str">
        <f t="shared" si="12"/>
        <v>S</v>
      </c>
      <c r="M102" s="7" t="str">
        <f t="shared" si="13"/>
        <v>D</v>
      </c>
      <c r="N102" s="2" t="str">
        <f t="shared" si="14"/>
        <v>S</v>
      </c>
      <c r="O102" s="9" t="str">
        <f>IF(MATCH(N102,{"D","C","B","A","S","S+"},0)&gt;MAX(MATCH(L102,{"D","C","B","A","S","S+"},0),MATCH(M102,{"D","C","B","A","S","S+"},0)),"特",IF(MATCH(L102,{"D","C","B","A","S","S+"},0)&gt;MATCH(M102,{"D","C","B","A","S","S+"},0),"武","文"))</f>
        <v>武</v>
      </c>
      <c r="P102" s="1" t="str">
        <f t="shared" si="15"/>
        <v>特才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topLeftCell="A37" workbookViewId="0">
      <selection activeCell="M18" sqref="M18"/>
    </sheetView>
  </sheetViews>
  <sheetFormatPr defaultColWidth="9" defaultRowHeight="15.6"/>
  <sheetData>
    <row r="1" spans="1:19">
      <c r="A1" s="1" t="s">
        <v>222</v>
      </c>
      <c r="B1" s="1" t="s">
        <v>223</v>
      </c>
      <c r="C1" s="1" t="s">
        <v>224</v>
      </c>
      <c r="D1" s="1" t="s">
        <v>225</v>
      </c>
      <c r="E1" s="1" t="s">
        <v>115</v>
      </c>
      <c r="F1" s="1" t="s">
        <v>116</v>
      </c>
      <c r="G1" s="1" t="s">
        <v>117</v>
      </c>
      <c r="H1" s="1" t="s">
        <v>226</v>
      </c>
      <c r="I1" s="1" t="s">
        <v>227</v>
      </c>
      <c r="J1" s="1" t="s">
        <v>14</v>
      </c>
      <c r="K1" s="1" t="s">
        <v>228</v>
      </c>
      <c r="L1" s="1" t="s">
        <v>11</v>
      </c>
      <c r="M1" s="1" t="s">
        <v>12</v>
      </c>
      <c r="N1" s="1"/>
      <c r="O1" s="1"/>
      <c r="P1" s="1"/>
      <c r="Q1" s="1"/>
      <c r="R1" s="1"/>
      <c r="S1" t="s">
        <v>229</v>
      </c>
    </row>
    <row r="2" spans="1:19">
      <c r="A2" s="1">
        <v>1</v>
      </c>
      <c r="B2" s="1" t="s">
        <v>230</v>
      </c>
      <c r="C2" s="1" t="s">
        <v>231</v>
      </c>
      <c r="D2" s="2">
        <v>95</v>
      </c>
      <c r="E2" s="3">
        <v>100</v>
      </c>
      <c r="F2" s="2">
        <v>93</v>
      </c>
      <c r="G2" s="4">
        <v>87</v>
      </c>
      <c r="H2" s="1">
        <f t="shared" ref="H2" si="0">SUM(D2:G2)</f>
        <v>375</v>
      </c>
      <c r="I2" s="1">
        <v>375</v>
      </c>
      <c r="J2" s="1" t="s">
        <v>232</v>
      </c>
      <c r="K2" s="1" t="str">
        <f t="shared" ref="K2:K14" si="1">IF(AND(INT(L2/10)=INT(M2/10),L2&gt;80,M2&gt;80),"全",IF(L2&gt;M2,"武","文"))</f>
        <v>全</v>
      </c>
      <c r="L2" s="2">
        <f t="shared" ref="L2" si="2">AVERAGE(D2:E2)</f>
        <v>97.5</v>
      </c>
      <c r="M2" s="2">
        <f t="shared" ref="M2" si="3">AVERAGE(F2:G2)</f>
        <v>90</v>
      </c>
      <c r="N2" s="1" t="s">
        <v>233</v>
      </c>
      <c r="O2" s="2" t="s">
        <v>234</v>
      </c>
      <c r="P2" s="1" t="s">
        <v>235</v>
      </c>
      <c r="Q2" s="1" t="s">
        <v>236</v>
      </c>
      <c r="R2" s="1" t="s">
        <v>237</v>
      </c>
      <c r="S2">
        <f>0.25*D2+0.3*E2+0.2*F2+0.25*G2</f>
        <v>94.1</v>
      </c>
    </row>
    <row r="3" spans="1:19">
      <c r="A3" s="1">
        <v>2</v>
      </c>
      <c r="B3" s="1" t="s">
        <v>238</v>
      </c>
      <c r="C3" s="1" t="s">
        <v>239</v>
      </c>
      <c r="D3" s="2">
        <v>96</v>
      </c>
      <c r="E3" s="2">
        <v>98</v>
      </c>
      <c r="F3" s="4">
        <v>82</v>
      </c>
      <c r="G3" s="4">
        <v>84</v>
      </c>
      <c r="H3" s="1">
        <f t="shared" ref="H3:H14" si="4">SUM(D3:G3)</f>
        <v>360</v>
      </c>
      <c r="I3" s="1">
        <v>360</v>
      </c>
      <c r="J3" s="1" t="s">
        <v>240</v>
      </c>
      <c r="K3" s="1" t="str">
        <f t="shared" si="1"/>
        <v>武</v>
      </c>
      <c r="L3" s="2">
        <f t="shared" ref="L3:L14" si="5">AVERAGE(D3:E3)</f>
        <v>97</v>
      </c>
      <c r="M3" s="4">
        <f t="shared" ref="M3:M14" si="6">AVERAGE(F3:G3)</f>
        <v>83</v>
      </c>
      <c r="N3" s="1" t="s">
        <v>241</v>
      </c>
      <c r="O3" s="2" t="s">
        <v>242</v>
      </c>
      <c r="P3" s="1" t="s">
        <v>243</v>
      </c>
      <c r="Q3" s="1" t="s">
        <v>244</v>
      </c>
      <c r="R3" s="1" t="s">
        <v>245</v>
      </c>
      <c r="S3">
        <f t="shared" ref="S3:S14" si="7">0.25*D3+0.3*E3+0.2*F3+0.25*G3</f>
        <v>90.8</v>
      </c>
    </row>
    <row r="4" spans="1:19">
      <c r="A4" s="1">
        <v>3</v>
      </c>
      <c r="B4" s="1" t="s">
        <v>238</v>
      </c>
      <c r="C4" s="1" t="s">
        <v>246</v>
      </c>
      <c r="D4" s="2">
        <v>94</v>
      </c>
      <c r="E4" s="5">
        <v>71</v>
      </c>
      <c r="F4" s="2">
        <v>95</v>
      </c>
      <c r="G4" s="3">
        <v>100</v>
      </c>
      <c r="H4" s="1">
        <f t="shared" si="4"/>
        <v>360</v>
      </c>
      <c r="I4" s="1">
        <v>360</v>
      </c>
      <c r="J4" s="1" t="s">
        <v>240</v>
      </c>
      <c r="K4" s="1" t="str">
        <f t="shared" si="1"/>
        <v>文</v>
      </c>
      <c r="L4" s="4">
        <f t="shared" si="5"/>
        <v>82.5</v>
      </c>
      <c r="M4" s="2">
        <f t="shared" si="6"/>
        <v>97.5</v>
      </c>
      <c r="N4" s="1" t="s">
        <v>247</v>
      </c>
      <c r="O4" s="2" t="s">
        <v>248</v>
      </c>
      <c r="P4" s="1" t="s">
        <v>249</v>
      </c>
      <c r="Q4" s="1" t="s">
        <v>250</v>
      </c>
      <c r="R4" s="1" t="s">
        <v>251</v>
      </c>
      <c r="S4">
        <f t="shared" si="7"/>
        <v>88.8</v>
      </c>
    </row>
    <row r="5" spans="1:19">
      <c r="A5" s="1">
        <v>4</v>
      </c>
      <c r="B5" s="1" t="s">
        <v>238</v>
      </c>
      <c r="C5" s="1" t="s">
        <v>252</v>
      </c>
      <c r="D5" s="4">
        <v>89</v>
      </c>
      <c r="E5" s="5">
        <v>79</v>
      </c>
      <c r="F5" s="3">
        <v>100</v>
      </c>
      <c r="G5" s="2">
        <v>92</v>
      </c>
      <c r="H5" s="1">
        <f t="shared" si="4"/>
        <v>360</v>
      </c>
      <c r="I5" s="1">
        <v>360</v>
      </c>
      <c r="J5" s="1" t="s">
        <v>240</v>
      </c>
      <c r="K5" s="1" t="str">
        <f t="shared" si="1"/>
        <v>文</v>
      </c>
      <c r="L5" s="4">
        <f t="shared" si="5"/>
        <v>84</v>
      </c>
      <c r="M5" s="2">
        <f t="shared" si="6"/>
        <v>96</v>
      </c>
      <c r="N5" s="1" t="s">
        <v>253</v>
      </c>
      <c r="O5" s="4" t="s">
        <v>254</v>
      </c>
      <c r="P5" s="1" t="s">
        <v>255</v>
      </c>
      <c r="Q5" s="1" t="s">
        <v>256</v>
      </c>
      <c r="R5" s="1" t="s">
        <v>257</v>
      </c>
      <c r="S5">
        <f t="shared" si="7"/>
        <v>88.95</v>
      </c>
    </row>
    <row r="6" spans="1:19">
      <c r="A6" s="1">
        <v>5</v>
      </c>
      <c r="B6" s="1" t="s">
        <v>238</v>
      </c>
      <c r="C6" s="1" t="s">
        <v>258</v>
      </c>
      <c r="D6" s="2">
        <v>92</v>
      </c>
      <c r="E6" s="2">
        <v>96</v>
      </c>
      <c r="F6" s="4">
        <v>89</v>
      </c>
      <c r="G6" s="4">
        <v>83</v>
      </c>
      <c r="H6" s="1">
        <f t="shared" si="4"/>
        <v>360</v>
      </c>
      <c r="I6" s="1">
        <v>360</v>
      </c>
      <c r="J6" s="1" t="s">
        <v>240</v>
      </c>
      <c r="K6" s="1" t="str">
        <f t="shared" si="1"/>
        <v>武</v>
      </c>
      <c r="L6" s="2">
        <f t="shared" si="5"/>
        <v>94</v>
      </c>
      <c r="M6" s="4">
        <f t="shared" si="6"/>
        <v>86</v>
      </c>
      <c r="N6" s="1" t="s">
        <v>259</v>
      </c>
      <c r="O6" s="2" t="s">
        <v>260</v>
      </c>
      <c r="P6" s="1" t="s">
        <v>261</v>
      </c>
      <c r="Q6" s="1" t="s">
        <v>262</v>
      </c>
      <c r="R6" s="1" t="s">
        <v>263</v>
      </c>
      <c r="S6">
        <f t="shared" si="7"/>
        <v>90.35</v>
      </c>
    </row>
    <row r="7" spans="1:19">
      <c r="A7" s="1">
        <v>6</v>
      </c>
      <c r="B7" s="1" t="s">
        <v>238</v>
      </c>
      <c r="C7" s="1" t="s">
        <v>264</v>
      </c>
      <c r="D7" s="4">
        <v>81</v>
      </c>
      <c r="E7" s="6">
        <v>69</v>
      </c>
      <c r="F7" s="2">
        <v>94</v>
      </c>
      <c r="G7" s="2">
        <v>96</v>
      </c>
      <c r="H7" s="1">
        <f t="shared" si="4"/>
        <v>340</v>
      </c>
      <c r="I7" s="1">
        <v>340</v>
      </c>
      <c r="J7" s="1" t="s">
        <v>265</v>
      </c>
      <c r="K7" s="1" t="str">
        <f t="shared" si="1"/>
        <v>文</v>
      </c>
      <c r="L7" s="5">
        <f t="shared" si="5"/>
        <v>75</v>
      </c>
      <c r="M7" s="2">
        <f t="shared" si="6"/>
        <v>95</v>
      </c>
      <c r="N7" s="1" t="s">
        <v>266</v>
      </c>
      <c r="O7" s="2" t="s">
        <v>267</v>
      </c>
      <c r="P7" s="1" t="s">
        <v>268</v>
      </c>
      <c r="Q7" s="1" t="s">
        <v>269</v>
      </c>
      <c r="R7" s="1" t="s">
        <v>270</v>
      </c>
      <c r="S7">
        <f t="shared" si="7"/>
        <v>83.75</v>
      </c>
    </row>
    <row r="8" spans="1:19">
      <c r="A8" s="1">
        <v>7</v>
      </c>
      <c r="B8" s="1" t="s">
        <v>238</v>
      </c>
      <c r="C8" s="1" t="s">
        <v>271</v>
      </c>
      <c r="D8" s="4">
        <v>88</v>
      </c>
      <c r="E8" s="2">
        <v>94</v>
      </c>
      <c r="F8" s="2">
        <v>90</v>
      </c>
      <c r="G8" s="6">
        <v>68</v>
      </c>
      <c r="H8" s="1">
        <f t="shared" si="4"/>
        <v>340</v>
      </c>
      <c r="I8" s="1">
        <v>340</v>
      </c>
      <c r="J8" s="1" t="s">
        <v>265</v>
      </c>
      <c r="K8" s="1" t="str">
        <f t="shared" si="1"/>
        <v>武</v>
      </c>
      <c r="L8" s="2">
        <f t="shared" si="5"/>
        <v>91</v>
      </c>
      <c r="M8" s="5">
        <f t="shared" si="6"/>
        <v>79</v>
      </c>
      <c r="N8" s="1" t="s">
        <v>272</v>
      </c>
      <c r="O8" s="4" t="s">
        <v>273</v>
      </c>
      <c r="P8" s="1" t="s">
        <v>274</v>
      </c>
      <c r="Q8" s="1" t="s">
        <v>275</v>
      </c>
      <c r="R8" s="1" t="s">
        <v>276</v>
      </c>
      <c r="S8">
        <f t="shared" si="7"/>
        <v>85.2</v>
      </c>
    </row>
    <row r="9" spans="1:19">
      <c r="A9" s="1">
        <v>8</v>
      </c>
      <c r="B9" s="1" t="s">
        <v>238</v>
      </c>
      <c r="C9" s="1" t="s">
        <v>277</v>
      </c>
      <c r="D9" s="4">
        <v>86</v>
      </c>
      <c r="E9" s="4">
        <v>84</v>
      </c>
      <c r="F9" s="5">
        <v>72</v>
      </c>
      <c r="G9" s="5">
        <v>78</v>
      </c>
      <c r="H9" s="1">
        <f t="shared" si="4"/>
        <v>320</v>
      </c>
      <c r="I9" s="1">
        <v>320</v>
      </c>
      <c r="J9" s="1" t="s">
        <v>278</v>
      </c>
      <c r="K9" s="1" t="str">
        <f t="shared" si="1"/>
        <v>武</v>
      </c>
      <c r="L9" s="4">
        <f t="shared" si="5"/>
        <v>85</v>
      </c>
      <c r="M9" s="5">
        <f t="shared" si="6"/>
        <v>75</v>
      </c>
      <c r="N9" s="1" t="s">
        <v>279</v>
      </c>
      <c r="O9" s="4" t="s">
        <v>280</v>
      </c>
      <c r="P9" s="1" t="s">
        <v>281</v>
      </c>
      <c r="Q9" s="1" t="s">
        <v>282</v>
      </c>
      <c r="R9" s="1" t="s">
        <v>283</v>
      </c>
      <c r="S9">
        <f t="shared" si="7"/>
        <v>80.6</v>
      </c>
    </row>
    <row r="10" spans="1:19">
      <c r="A10" s="1">
        <v>9</v>
      </c>
      <c r="B10" s="1" t="s">
        <v>238</v>
      </c>
      <c r="C10" s="1" t="s">
        <v>284</v>
      </c>
      <c r="D10" s="4">
        <v>80</v>
      </c>
      <c r="E10" s="5">
        <v>77</v>
      </c>
      <c r="F10" s="4">
        <v>81</v>
      </c>
      <c r="G10" s="4">
        <v>82</v>
      </c>
      <c r="H10" s="1">
        <f t="shared" si="4"/>
        <v>320</v>
      </c>
      <c r="I10" s="1">
        <v>320</v>
      </c>
      <c r="J10" s="1" t="s">
        <v>278</v>
      </c>
      <c r="K10" s="1" t="str">
        <f t="shared" si="1"/>
        <v>文</v>
      </c>
      <c r="L10" s="5">
        <f t="shared" si="5"/>
        <v>78.5</v>
      </c>
      <c r="M10" s="4">
        <f t="shared" si="6"/>
        <v>81.5</v>
      </c>
      <c r="N10" s="1" t="s">
        <v>285</v>
      </c>
      <c r="O10" s="5" t="s">
        <v>286</v>
      </c>
      <c r="P10" s="1" t="s">
        <v>287</v>
      </c>
      <c r="Q10" s="1" t="s">
        <v>288</v>
      </c>
      <c r="R10" s="1" t="s">
        <v>289</v>
      </c>
      <c r="S10">
        <f t="shared" si="7"/>
        <v>79.8</v>
      </c>
    </row>
    <row r="11" spans="1:19">
      <c r="A11" s="1">
        <v>10</v>
      </c>
      <c r="B11" s="1" t="s">
        <v>238</v>
      </c>
      <c r="C11" s="1" t="s">
        <v>290</v>
      </c>
      <c r="D11" s="6">
        <v>67</v>
      </c>
      <c r="E11" s="2">
        <v>91</v>
      </c>
      <c r="F11" s="5">
        <v>77</v>
      </c>
      <c r="G11" s="6">
        <v>65</v>
      </c>
      <c r="H11" s="1">
        <f t="shared" si="4"/>
        <v>300</v>
      </c>
      <c r="I11" s="1">
        <v>300</v>
      </c>
      <c r="J11" s="1" t="s">
        <v>291</v>
      </c>
      <c r="K11" s="1" t="str">
        <f t="shared" si="1"/>
        <v>武</v>
      </c>
      <c r="L11" s="5">
        <f t="shared" si="5"/>
        <v>79</v>
      </c>
      <c r="M11" s="5">
        <f t="shared" si="6"/>
        <v>71</v>
      </c>
      <c r="N11" s="1" t="s">
        <v>292</v>
      </c>
      <c r="O11" s="5" t="s">
        <v>293</v>
      </c>
      <c r="P11" s="1" t="s">
        <v>294</v>
      </c>
      <c r="Q11" s="1" t="s">
        <v>295</v>
      </c>
      <c r="R11" s="1" t="s">
        <v>296</v>
      </c>
      <c r="S11">
        <f t="shared" si="7"/>
        <v>75.7</v>
      </c>
    </row>
    <row r="12" spans="1:19">
      <c r="A12" s="1">
        <v>11</v>
      </c>
      <c r="B12" s="1" t="s">
        <v>230</v>
      </c>
      <c r="C12" s="1" t="s">
        <v>297</v>
      </c>
      <c r="D12" s="2">
        <v>97</v>
      </c>
      <c r="E12" s="3">
        <v>100</v>
      </c>
      <c r="F12" s="2">
        <v>92</v>
      </c>
      <c r="G12" s="4">
        <v>86</v>
      </c>
      <c r="H12" s="1">
        <f t="shared" si="4"/>
        <v>375</v>
      </c>
      <c r="I12" s="1">
        <v>375</v>
      </c>
      <c r="J12" s="1" t="s">
        <v>232</v>
      </c>
      <c r="K12" s="1" t="str">
        <f t="shared" si="1"/>
        <v>武</v>
      </c>
      <c r="L12" s="2">
        <f t="shared" si="5"/>
        <v>98.5</v>
      </c>
      <c r="M12" s="4">
        <f t="shared" si="6"/>
        <v>89</v>
      </c>
      <c r="N12" s="1" t="s">
        <v>298</v>
      </c>
      <c r="O12" s="5" t="s">
        <v>299</v>
      </c>
      <c r="P12" s="1" t="s">
        <v>300</v>
      </c>
      <c r="Q12" s="1" t="s">
        <v>301</v>
      </c>
      <c r="R12" s="1" t="s">
        <v>302</v>
      </c>
      <c r="S12">
        <f t="shared" si="7"/>
        <v>94.15</v>
      </c>
    </row>
    <row r="13" spans="1:19">
      <c r="A13" s="1">
        <v>12</v>
      </c>
      <c r="B13" s="1" t="s">
        <v>230</v>
      </c>
      <c r="C13" s="1" t="s">
        <v>303</v>
      </c>
      <c r="D13" s="3">
        <v>100</v>
      </c>
      <c r="E13" s="4">
        <v>87</v>
      </c>
      <c r="F13" s="2">
        <v>91</v>
      </c>
      <c r="G13" s="2">
        <v>97</v>
      </c>
      <c r="H13" s="1">
        <f t="shared" si="4"/>
        <v>375</v>
      </c>
      <c r="I13" s="1">
        <v>375</v>
      </c>
      <c r="J13" s="1" t="s">
        <v>232</v>
      </c>
      <c r="K13" s="1" t="str">
        <f t="shared" si="1"/>
        <v>全</v>
      </c>
      <c r="L13" s="2">
        <f t="shared" si="5"/>
        <v>93.5</v>
      </c>
      <c r="M13" s="2">
        <f t="shared" si="6"/>
        <v>94</v>
      </c>
      <c r="S13">
        <f t="shared" si="7"/>
        <v>93.55</v>
      </c>
    </row>
    <row r="14" spans="1:19">
      <c r="A14" s="1">
        <v>13</v>
      </c>
      <c r="B14" s="1" t="s">
        <v>230</v>
      </c>
      <c r="C14" s="1" t="s">
        <v>304</v>
      </c>
      <c r="D14" s="5">
        <v>77</v>
      </c>
      <c r="E14" s="7">
        <v>47</v>
      </c>
      <c r="F14" s="4">
        <v>86</v>
      </c>
      <c r="G14" s="2">
        <v>90</v>
      </c>
      <c r="H14" s="1">
        <f t="shared" si="4"/>
        <v>300</v>
      </c>
      <c r="I14" s="1">
        <v>300</v>
      </c>
      <c r="J14" s="1" t="s">
        <v>291</v>
      </c>
      <c r="K14" s="1" t="str">
        <f t="shared" si="1"/>
        <v>文</v>
      </c>
      <c r="L14" s="6">
        <f t="shared" si="5"/>
        <v>62</v>
      </c>
      <c r="M14" s="4">
        <f t="shared" si="6"/>
        <v>88</v>
      </c>
      <c r="S14">
        <f t="shared" si="7"/>
        <v>73.05</v>
      </c>
    </row>
    <row r="15" ht="19.5" customHeight="1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9.5" customHeight="1" spans="1:19">
      <c r="A16" s="1"/>
      <c r="B16" s="1" t="s">
        <v>230</v>
      </c>
      <c r="C16" s="1" t="s">
        <v>231</v>
      </c>
      <c r="D16" s="1">
        <v>95</v>
      </c>
      <c r="E16" s="1">
        <v>100</v>
      </c>
      <c r="F16" s="1">
        <v>93</v>
      </c>
      <c r="G16" s="1">
        <v>87</v>
      </c>
      <c r="H16" s="1" t="s">
        <v>305</v>
      </c>
      <c r="I16" s="1"/>
      <c r="J16" s="1"/>
      <c r="K16" s="1"/>
    </row>
    <row r="17" ht="19.5" customHeight="1" spans="1:11">
      <c r="A17" s="1"/>
      <c r="B17" s="1" t="s">
        <v>238</v>
      </c>
      <c r="C17" s="1" t="s">
        <v>239</v>
      </c>
      <c r="D17" s="1">
        <v>96</v>
      </c>
      <c r="E17" s="1">
        <v>98</v>
      </c>
      <c r="F17" s="1">
        <v>82</v>
      </c>
      <c r="G17" s="1">
        <v>84</v>
      </c>
      <c r="H17" s="1" t="s">
        <v>306</v>
      </c>
      <c r="I17" s="1"/>
      <c r="J17" s="1"/>
      <c r="K17" s="1"/>
    </row>
    <row r="18" ht="19.5" customHeight="1" spans="1:11">
      <c r="A18" s="1"/>
      <c r="B18" s="1" t="s">
        <v>238</v>
      </c>
      <c r="C18" s="1" t="s">
        <v>246</v>
      </c>
      <c r="D18" s="1">
        <v>94</v>
      </c>
      <c r="E18" s="1">
        <v>71</v>
      </c>
      <c r="F18" s="1">
        <v>95</v>
      </c>
      <c r="G18" s="1">
        <v>100</v>
      </c>
      <c r="H18" s="1" t="s">
        <v>307</v>
      </c>
      <c r="I18" s="1"/>
      <c r="J18" s="1"/>
      <c r="K18" s="1"/>
    </row>
    <row r="19" ht="19.5" customHeight="1" spans="1:11">
      <c r="A19" s="1"/>
      <c r="B19" s="1" t="s">
        <v>238</v>
      </c>
      <c r="C19" s="1" t="s">
        <v>252</v>
      </c>
      <c r="D19" s="1">
        <v>89</v>
      </c>
      <c r="E19" s="1">
        <v>79</v>
      </c>
      <c r="F19" s="1">
        <v>100</v>
      </c>
      <c r="G19" s="1">
        <v>92</v>
      </c>
      <c r="H19" s="1" t="s">
        <v>308</v>
      </c>
      <c r="I19" s="1"/>
      <c r="J19" s="1"/>
      <c r="K19" s="1"/>
    </row>
    <row r="20" ht="19.5" customHeight="1" spans="1:11">
      <c r="A20" s="1"/>
      <c r="B20" s="1" t="s">
        <v>238</v>
      </c>
      <c r="C20" s="1" t="s">
        <v>258</v>
      </c>
      <c r="D20" s="1">
        <v>92</v>
      </c>
      <c r="E20" s="1">
        <v>96</v>
      </c>
      <c r="F20" s="1">
        <v>89</v>
      </c>
      <c r="G20" s="1">
        <v>83</v>
      </c>
      <c r="H20" s="1" t="s">
        <v>309</v>
      </c>
      <c r="I20" s="1"/>
      <c r="J20" s="1"/>
      <c r="K20" s="1"/>
    </row>
    <row r="21" ht="19.5" customHeight="1" spans="1:11">
      <c r="A21" s="1"/>
      <c r="B21" s="1" t="s">
        <v>238</v>
      </c>
      <c r="C21" s="1" t="s">
        <v>264</v>
      </c>
      <c r="D21" s="1">
        <v>81</v>
      </c>
      <c r="E21" s="1">
        <v>69</v>
      </c>
      <c r="F21" s="1">
        <v>94</v>
      </c>
      <c r="G21" s="1">
        <v>96</v>
      </c>
      <c r="H21" s="1" t="s">
        <v>310</v>
      </c>
      <c r="I21" s="1"/>
      <c r="J21" s="1"/>
      <c r="K21" s="1"/>
    </row>
    <row r="22" ht="19.5" customHeight="1" spans="1:11">
      <c r="A22" s="1"/>
      <c r="B22" s="1" t="s">
        <v>238</v>
      </c>
      <c r="C22" s="1" t="s">
        <v>271</v>
      </c>
      <c r="D22" s="1">
        <v>88</v>
      </c>
      <c r="E22" s="1">
        <v>94</v>
      </c>
      <c r="F22" s="1">
        <v>90</v>
      </c>
      <c r="G22" s="1">
        <v>68</v>
      </c>
      <c r="H22" s="1" t="s">
        <v>311</v>
      </c>
      <c r="I22" s="1"/>
      <c r="J22" s="1"/>
      <c r="K22" s="1"/>
    </row>
    <row r="23" ht="19.5" customHeight="1" spans="1:11">
      <c r="A23" s="1"/>
      <c r="B23" s="1" t="s">
        <v>238</v>
      </c>
      <c r="C23" s="1" t="s">
        <v>277</v>
      </c>
      <c r="D23" s="1">
        <v>86</v>
      </c>
      <c r="E23" s="1">
        <v>84</v>
      </c>
      <c r="F23" s="1">
        <v>72</v>
      </c>
      <c r="G23" s="1">
        <v>78</v>
      </c>
      <c r="H23" s="1" t="s">
        <v>312</v>
      </c>
      <c r="I23" s="1"/>
      <c r="J23" s="1"/>
      <c r="K23" s="1"/>
    </row>
    <row r="24" ht="19.5" customHeight="1" spans="1:11">
      <c r="A24" s="1"/>
      <c r="B24" s="1" t="s">
        <v>238</v>
      </c>
      <c r="C24" s="1" t="s">
        <v>284</v>
      </c>
      <c r="D24" s="1">
        <v>80</v>
      </c>
      <c r="E24" s="1">
        <v>77</v>
      </c>
      <c r="F24" s="1">
        <v>81</v>
      </c>
      <c r="G24" s="1">
        <v>82</v>
      </c>
      <c r="H24" s="1" t="s">
        <v>313</v>
      </c>
      <c r="I24" s="1"/>
      <c r="J24" s="1"/>
      <c r="K24" s="1"/>
    </row>
    <row r="25" ht="19.5" customHeight="1" spans="1:11">
      <c r="A25" s="1"/>
      <c r="B25" s="1" t="s">
        <v>238</v>
      </c>
      <c r="C25" s="1" t="s">
        <v>290</v>
      </c>
      <c r="D25" s="1">
        <v>67</v>
      </c>
      <c r="E25" s="1">
        <v>91</v>
      </c>
      <c r="F25" s="1">
        <v>77</v>
      </c>
      <c r="G25" s="1">
        <v>65</v>
      </c>
      <c r="H25" s="1" t="s">
        <v>314</v>
      </c>
      <c r="I25" s="1"/>
      <c r="J25" s="1"/>
      <c r="K25" s="1"/>
    </row>
    <row r="26" ht="19.5" customHeight="1" spans="1:11">
      <c r="A26" s="1"/>
      <c r="B26" s="1" t="s">
        <v>230</v>
      </c>
      <c r="C26" s="1" t="s">
        <v>297</v>
      </c>
      <c r="D26" s="1">
        <v>97</v>
      </c>
      <c r="E26" s="1">
        <v>100</v>
      </c>
      <c r="F26" s="1">
        <v>92</v>
      </c>
      <c r="G26" s="1">
        <v>86</v>
      </c>
      <c r="H26" s="1" t="s">
        <v>315</v>
      </c>
      <c r="I26" s="1"/>
      <c r="J26" s="1"/>
      <c r="K26" s="1"/>
    </row>
    <row r="27" ht="19.5" customHeight="1" spans="1:11">
      <c r="A27" s="1"/>
      <c r="B27" s="1" t="s">
        <v>230</v>
      </c>
      <c r="C27" s="1" t="s">
        <v>303</v>
      </c>
      <c r="D27" s="1">
        <v>100</v>
      </c>
      <c r="E27" s="1">
        <v>87</v>
      </c>
      <c r="F27" s="1">
        <v>91</v>
      </c>
      <c r="G27" s="1">
        <v>97</v>
      </c>
      <c r="H27" s="1" t="s">
        <v>316</v>
      </c>
      <c r="I27" s="1"/>
      <c r="J27" s="1"/>
      <c r="K27" s="1"/>
    </row>
    <row r="28" ht="19.5" customHeight="1" spans="1:11">
      <c r="A28" s="1"/>
      <c r="B28" s="1" t="s">
        <v>230</v>
      </c>
      <c r="C28" s="1" t="s">
        <v>304</v>
      </c>
      <c r="D28" s="1">
        <v>77</v>
      </c>
      <c r="E28" s="1">
        <v>47</v>
      </c>
      <c r="F28" s="1">
        <v>86</v>
      </c>
      <c r="G28" s="1">
        <v>90</v>
      </c>
      <c r="H28" s="1" t="s">
        <v>317</v>
      </c>
      <c r="I28" s="1"/>
      <c r="J28" s="1"/>
      <c r="K28" s="1"/>
    </row>
    <row r="29" ht="19.5" customHeight="1" spans="1:11">
      <c r="A29" s="1"/>
      <c r="B29" s="1" t="s">
        <v>230</v>
      </c>
      <c r="C29" s="1" t="s">
        <v>318</v>
      </c>
      <c r="D29" s="1">
        <v>82</v>
      </c>
      <c r="E29" s="1">
        <v>89</v>
      </c>
      <c r="F29" s="1">
        <v>68</v>
      </c>
      <c r="G29" s="1">
        <v>71</v>
      </c>
      <c r="H29" s="1" t="s">
        <v>319</v>
      </c>
      <c r="I29" s="1"/>
      <c r="J29" s="1"/>
      <c r="K29" s="1"/>
    </row>
    <row r="30" ht="19.5" customHeight="1" spans="1:11">
      <c r="A30" s="1"/>
      <c r="B30" s="1" t="s">
        <v>230</v>
      </c>
      <c r="C30" s="1" t="s">
        <v>320</v>
      </c>
      <c r="D30" s="1">
        <v>81</v>
      </c>
      <c r="E30" s="1">
        <v>88</v>
      </c>
      <c r="F30" s="1">
        <v>67</v>
      </c>
      <c r="G30" s="1">
        <v>70</v>
      </c>
      <c r="H30" s="1" t="s">
        <v>321</v>
      </c>
      <c r="I30" s="1"/>
      <c r="J30" s="1"/>
      <c r="K30" s="1"/>
    </row>
    <row r="31" ht="19.5" customHeight="1" spans="1:11">
      <c r="A31" s="1"/>
      <c r="B31" s="1" t="s">
        <v>230</v>
      </c>
      <c r="C31" s="1" t="s">
        <v>322</v>
      </c>
      <c r="D31" s="1">
        <v>98</v>
      </c>
      <c r="E31" s="1">
        <v>99</v>
      </c>
      <c r="F31" s="1">
        <v>90</v>
      </c>
      <c r="G31" s="1">
        <v>85</v>
      </c>
      <c r="H31" s="1" t="s">
        <v>323</v>
      </c>
      <c r="I31" s="1"/>
      <c r="J31" s="1"/>
      <c r="K31" s="1"/>
    </row>
    <row r="32" ht="19.5" customHeight="1" spans="1:11">
      <c r="A32" s="1"/>
      <c r="B32" s="1" t="s">
        <v>230</v>
      </c>
      <c r="C32" s="1" t="s">
        <v>324</v>
      </c>
      <c r="D32" s="1">
        <v>93</v>
      </c>
      <c r="E32" s="1">
        <v>95</v>
      </c>
      <c r="F32" s="1">
        <v>94</v>
      </c>
      <c r="G32" s="1">
        <v>88</v>
      </c>
      <c r="H32" s="1" t="s">
        <v>325</v>
      </c>
      <c r="I32" s="1"/>
      <c r="J32" s="1"/>
      <c r="K32" s="1"/>
    </row>
    <row r="33" ht="19.5" customHeight="1" spans="1:11">
      <c r="A33" s="1"/>
      <c r="B33" s="1" t="s">
        <v>238</v>
      </c>
      <c r="C33" s="1" t="s">
        <v>326</v>
      </c>
      <c r="D33" s="1">
        <v>87</v>
      </c>
      <c r="E33" s="1">
        <v>97</v>
      </c>
      <c r="F33" s="1">
        <v>85</v>
      </c>
      <c r="G33" s="1">
        <v>72</v>
      </c>
      <c r="H33" s="1" t="s">
        <v>327</v>
      </c>
      <c r="I33" s="1"/>
      <c r="J33" s="1"/>
      <c r="K33" s="1"/>
    </row>
    <row r="34" ht="19.5" customHeight="1" spans="1:11">
      <c r="A34" s="1"/>
      <c r="B34" s="1" t="s">
        <v>230</v>
      </c>
      <c r="C34" s="1" t="s">
        <v>328</v>
      </c>
      <c r="D34" s="1">
        <v>91</v>
      </c>
      <c r="E34" s="1">
        <v>96</v>
      </c>
      <c r="F34" s="1">
        <v>79</v>
      </c>
      <c r="G34" s="1">
        <v>75</v>
      </c>
      <c r="H34" s="1" t="s">
        <v>329</v>
      </c>
      <c r="I34" s="1"/>
      <c r="J34" s="1"/>
      <c r="K34" s="1"/>
    </row>
    <row r="35" ht="19.5" customHeight="1" spans="1:11">
      <c r="A35" s="1"/>
      <c r="B35" s="1" t="s">
        <v>238</v>
      </c>
      <c r="C35" s="1" t="s">
        <v>330</v>
      </c>
      <c r="D35" s="1">
        <v>79</v>
      </c>
      <c r="E35" s="1">
        <v>73</v>
      </c>
      <c r="F35" s="1">
        <v>97</v>
      </c>
      <c r="G35" s="1">
        <v>95</v>
      </c>
      <c r="H35" s="1" t="s">
        <v>331</v>
      </c>
      <c r="I35" s="1"/>
      <c r="J35" s="1"/>
      <c r="K35" s="1"/>
    </row>
    <row r="36" ht="19.5" customHeight="1" spans="1:11">
      <c r="A36" s="1"/>
      <c r="B36" s="1" t="s">
        <v>230</v>
      </c>
      <c r="C36" s="1" t="s">
        <v>332</v>
      </c>
      <c r="D36" s="1">
        <v>90</v>
      </c>
      <c r="E36" s="1">
        <v>92</v>
      </c>
      <c r="F36" s="1">
        <v>84</v>
      </c>
      <c r="G36" s="1">
        <v>80</v>
      </c>
      <c r="H36" s="1" t="s">
        <v>333</v>
      </c>
      <c r="I36" s="1"/>
      <c r="J36" s="1"/>
      <c r="K36" s="1"/>
    </row>
    <row r="37" ht="19.5" customHeight="1" spans="1:11">
      <c r="A37" s="1"/>
      <c r="B37" s="1" t="s">
        <v>238</v>
      </c>
      <c r="C37" s="1" t="s">
        <v>334</v>
      </c>
      <c r="D37" s="1">
        <v>72</v>
      </c>
      <c r="E37" s="1">
        <v>86</v>
      </c>
      <c r="F37" s="1">
        <v>83</v>
      </c>
      <c r="G37" s="1">
        <v>74</v>
      </c>
      <c r="H37" s="1" t="s">
        <v>335</v>
      </c>
      <c r="I37" s="1"/>
      <c r="J37" s="1"/>
      <c r="K37" s="1"/>
    </row>
    <row r="38" ht="19.5" customHeight="1" spans="1:11">
      <c r="A38" s="1"/>
      <c r="B38" s="1" t="s">
        <v>230</v>
      </c>
      <c r="C38" s="1" t="s">
        <v>336</v>
      </c>
      <c r="D38" s="1">
        <v>94</v>
      </c>
      <c r="E38" s="1">
        <v>98</v>
      </c>
      <c r="F38" s="1">
        <v>76</v>
      </c>
      <c r="G38" s="1">
        <v>69</v>
      </c>
      <c r="H38" s="1" t="s">
        <v>337</v>
      </c>
      <c r="I38" s="1"/>
      <c r="J38" s="1"/>
      <c r="K38" s="1"/>
    </row>
    <row r="39" ht="19.5" customHeight="1" spans="1:11">
      <c r="A39" s="1"/>
      <c r="B39" s="1" t="s">
        <v>238</v>
      </c>
      <c r="C39" s="1" t="s">
        <v>338</v>
      </c>
      <c r="D39" s="1">
        <v>84</v>
      </c>
      <c r="E39" s="1">
        <v>82</v>
      </c>
      <c r="F39" s="1">
        <v>88</v>
      </c>
      <c r="G39" s="1">
        <v>91</v>
      </c>
      <c r="H39" s="1" t="s">
        <v>339</v>
      </c>
      <c r="I39" s="1"/>
      <c r="J39" s="1"/>
      <c r="K39" s="1"/>
    </row>
    <row r="40" ht="19.5" customHeight="1" spans="1:11">
      <c r="A40" s="1"/>
      <c r="B40" s="1" t="s">
        <v>230</v>
      </c>
      <c r="C40" s="1" t="s">
        <v>340</v>
      </c>
      <c r="D40" s="1">
        <v>75</v>
      </c>
      <c r="E40" s="1">
        <v>53</v>
      </c>
      <c r="F40" s="1">
        <v>96</v>
      </c>
      <c r="G40" s="1">
        <v>98</v>
      </c>
      <c r="H40" s="1" t="s">
        <v>341</v>
      </c>
      <c r="I40" s="1"/>
      <c r="J40" s="1"/>
      <c r="K40" s="1"/>
    </row>
    <row r="41" ht="19.5" customHeight="1" spans="1:11">
      <c r="A41" s="1"/>
      <c r="B41" s="1" t="s">
        <v>230</v>
      </c>
      <c r="C41" s="1" t="s">
        <v>342</v>
      </c>
      <c r="D41" s="1">
        <v>85</v>
      </c>
      <c r="E41" s="1">
        <v>93</v>
      </c>
      <c r="F41" s="1">
        <v>65</v>
      </c>
      <c r="G41" s="1">
        <v>62</v>
      </c>
      <c r="H41" s="1" t="s">
        <v>343</v>
      </c>
      <c r="I41" s="1"/>
      <c r="J41" s="1"/>
      <c r="K41" s="1"/>
    </row>
    <row r="42" ht="19.5" customHeight="1" spans="1:11">
      <c r="A42" s="1"/>
      <c r="B42" s="1" t="s">
        <v>238</v>
      </c>
      <c r="C42" s="1" t="s">
        <v>344</v>
      </c>
      <c r="D42" s="1">
        <v>83</v>
      </c>
      <c r="E42" s="1">
        <v>81</v>
      </c>
      <c r="F42" s="1">
        <v>92</v>
      </c>
      <c r="G42" s="1">
        <v>89</v>
      </c>
      <c r="H42" s="1" t="s">
        <v>345</v>
      </c>
      <c r="I42" s="1"/>
      <c r="J42" s="1"/>
      <c r="K42" s="1"/>
    </row>
    <row r="43" ht="19.5" customHeight="1" spans="1:11">
      <c r="A43" s="1"/>
      <c r="B43" s="1" t="s">
        <v>230</v>
      </c>
      <c r="C43" s="1" t="s">
        <v>346</v>
      </c>
      <c r="D43" s="1">
        <v>89</v>
      </c>
      <c r="E43" s="1">
        <v>94</v>
      </c>
      <c r="F43" s="1">
        <v>87</v>
      </c>
      <c r="G43" s="1">
        <v>76</v>
      </c>
      <c r="H43" s="1" t="s">
        <v>347</v>
      </c>
      <c r="I43" s="1"/>
      <c r="J43" s="1"/>
      <c r="K43" s="1"/>
    </row>
    <row r="44" ht="19.5" customHeight="1" spans="1:11">
      <c r="A44" s="1"/>
      <c r="B44" s="1" t="s">
        <v>238</v>
      </c>
      <c r="C44" s="1" t="s">
        <v>348</v>
      </c>
      <c r="D44" s="1">
        <v>70</v>
      </c>
      <c r="E44" s="1">
        <v>75</v>
      </c>
      <c r="F44" s="1">
        <v>80</v>
      </c>
      <c r="G44" s="1">
        <v>86</v>
      </c>
      <c r="H44" s="1" t="s">
        <v>349</v>
      </c>
      <c r="I44" s="1"/>
      <c r="J44" s="1"/>
      <c r="K44" s="1"/>
    </row>
    <row r="45" ht="19.5" customHeight="1" spans="1:11">
      <c r="A45" s="1"/>
      <c r="B45" s="1" t="s">
        <v>230</v>
      </c>
      <c r="C45" s="1" t="s">
        <v>350</v>
      </c>
      <c r="D45" s="1">
        <v>92</v>
      </c>
      <c r="E45" s="1">
        <v>85</v>
      </c>
      <c r="F45" s="1">
        <v>89</v>
      </c>
      <c r="G45" s="1">
        <v>93</v>
      </c>
      <c r="H45" s="1" t="s">
        <v>351</v>
      </c>
      <c r="I45" s="1"/>
      <c r="J45" s="1"/>
      <c r="K45" s="1"/>
    </row>
    <row r="46" ht="19.5" customHeight="1" spans="1:11">
      <c r="A46" s="1"/>
      <c r="B46" s="1" t="s">
        <v>238</v>
      </c>
      <c r="C46" s="1" t="s">
        <v>352</v>
      </c>
      <c r="D46" s="1">
        <v>80</v>
      </c>
      <c r="E46" s="1">
        <v>84</v>
      </c>
      <c r="F46" s="1">
        <v>85</v>
      </c>
      <c r="G46" s="1">
        <v>79</v>
      </c>
      <c r="H46" s="1" t="s">
        <v>353</v>
      </c>
      <c r="I46" s="1"/>
      <c r="J46" s="1"/>
      <c r="K46" s="1"/>
    </row>
    <row r="47" ht="19.5" customHeight="1" spans="1:11">
      <c r="A47" s="1"/>
      <c r="B47" s="1" t="s">
        <v>230</v>
      </c>
      <c r="C47" s="1" t="s">
        <v>354</v>
      </c>
      <c r="D47" s="1">
        <v>88</v>
      </c>
      <c r="E47" s="1">
        <v>90</v>
      </c>
      <c r="F47" s="1">
        <v>95</v>
      </c>
      <c r="G47" s="1">
        <v>82</v>
      </c>
      <c r="H47" s="1" t="s">
        <v>355</v>
      </c>
      <c r="I47" s="1"/>
      <c r="J47" s="1"/>
      <c r="K47" s="1"/>
    </row>
    <row r="48" ht="19.5" customHeight="1" spans="1:11">
      <c r="A48" s="1"/>
      <c r="B48" s="1" t="s">
        <v>238</v>
      </c>
      <c r="C48" s="1" t="s">
        <v>356</v>
      </c>
      <c r="D48" s="1">
        <v>76</v>
      </c>
      <c r="E48" s="1">
        <v>92</v>
      </c>
      <c r="F48" s="1">
        <v>78</v>
      </c>
      <c r="G48" s="1">
        <v>70</v>
      </c>
      <c r="H48" s="1" t="s">
        <v>357</v>
      </c>
      <c r="I48" s="1"/>
      <c r="J48" s="1"/>
      <c r="K48" s="1"/>
    </row>
    <row r="49" ht="19.5" customHeight="1" spans="1:11">
      <c r="A49" s="1"/>
      <c r="B49" s="1" t="s">
        <v>230</v>
      </c>
      <c r="C49" s="1" t="s">
        <v>358</v>
      </c>
      <c r="D49" s="1">
        <v>96</v>
      </c>
      <c r="E49" s="1">
        <v>91</v>
      </c>
      <c r="F49" s="1">
        <v>84</v>
      </c>
      <c r="G49" s="1">
        <v>92</v>
      </c>
      <c r="H49" s="1" t="s">
        <v>359</v>
      </c>
      <c r="I49" s="1"/>
      <c r="J49" s="1"/>
      <c r="K49" s="1"/>
    </row>
    <row r="50" ht="19.5" customHeight="1" spans="1:11">
      <c r="A50" s="1"/>
      <c r="B50" s="1" t="s">
        <v>238</v>
      </c>
      <c r="C50" s="1" t="s">
        <v>360</v>
      </c>
      <c r="D50" s="1">
        <v>82</v>
      </c>
      <c r="E50" s="1">
        <v>78</v>
      </c>
      <c r="F50" s="1">
        <v>91</v>
      </c>
      <c r="G50" s="1">
        <v>87</v>
      </c>
      <c r="H50" s="1" t="s">
        <v>361</v>
      </c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selection activeCell="B2" sqref="B2"/>
    </sheetView>
  </sheetViews>
  <sheetFormatPr defaultColWidth="9" defaultRowHeight="15.6"/>
  <sheetData>
    <row r="1" spans="1:17">
      <c r="A1" s="1" t="s">
        <v>222</v>
      </c>
      <c r="B1" s="1" t="s">
        <v>224</v>
      </c>
      <c r="C1" s="1" t="s">
        <v>225</v>
      </c>
      <c r="D1" s="1" t="s">
        <v>115</v>
      </c>
      <c r="E1" s="1" t="s">
        <v>116</v>
      </c>
      <c r="F1" s="1" t="s">
        <v>117</v>
      </c>
      <c r="G1" s="1" t="s">
        <v>226</v>
      </c>
      <c r="H1" s="1" t="s">
        <v>227</v>
      </c>
      <c r="I1" s="1"/>
      <c r="J1" s="1" t="s">
        <v>228</v>
      </c>
      <c r="K1" s="1" t="s">
        <v>11</v>
      </c>
      <c r="L1" s="1" t="s">
        <v>12</v>
      </c>
      <c r="M1" s="1"/>
      <c r="N1" s="1"/>
      <c r="O1" s="1"/>
      <c r="P1" s="1"/>
      <c r="Q1" s="1"/>
    </row>
    <row r="2" spans="1:17">
      <c r="A2" s="1">
        <v>1</v>
      </c>
      <c r="B2" s="1" t="s">
        <v>362</v>
      </c>
      <c r="C2" s="2">
        <v>95</v>
      </c>
      <c r="D2" s="2">
        <v>92</v>
      </c>
      <c r="E2" s="2">
        <v>93</v>
      </c>
      <c r="F2" s="2">
        <v>95</v>
      </c>
      <c r="G2" s="1">
        <f t="shared" ref="G2:G13" si="0">SUM(C2:F2)</f>
        <v>375</v>
      </c>
      <c r="H2" s="1">
        <v>370</v>
      </c>
      <c r="I2" s="1" t="s">
        <v>232</v>
      </c>
      <c r="J2" s="1" t="s">
        <v>363</v>
      </c>
      <c r="K2" s="2">
        <f t="shared" ref="K2:K13" si="1">AVERAGE(C2:D2)</f>
        <v>93.5</v>
      </c>
      <c r="L2" s="2">
        <f t="shared" ref="L2:L13" si="2">AVERAGE(E2:F2)</f>
        <v>94</v>
      </c>
      <c r="M2" s="1" t="s">
        <v>233</v>
      </c>
      <c r="N2" s="2" t="s">
        <v>234</v>
      </c>
      <c r="O2" s="1" t="s">
        <v>235</v>
      </c>
      <c r="P2" s="1" t="s">
        <v>236</v>
      </c>
      <c r="Q2" s="1" t="s">
        <v>237</v>
      </c>
    </row>
    <row r="3" spans="1:17">
      <c r="A3" s="1">
        <v>2</v>
      </c>
      <c r="B3" s="1" t="s">
        <v>364</v>
      </c>
      <c r="C3" s="2">
        <v>96</v>
      </c>
      <c r="D3" s="3">
        <v>100</v>
      </c>
      <c r="E3" s="4">
        <v>84</v>
      </c>
      <c r="F3" s="4">
        <v>80</v>
      </c>
      <c r="G3" s="1">
        <f t="shared" si="0"/>
        <v>360</v>
      </c>
      <c r="H3" s="1">
        <v>360</v>
      </c>
      <c r="I3" s="1" t="s">
        <v>240</v>
      </c>
      <c r="J3" s="1" t="s">
        <v>365</v>
      </c>
      <c r="K3" s="2">
        <f t="shared" si="1"/>
        <v>98</v>
      </c>
      <c r="L3" s="4">
        <f t="shared" si="2"/>
        <v>82</v>
      </c>
      <c r="M3" s="1" t="s">
        <v>241</v>
      </c>
      <c r="N3" s="2" t="s">
        <v>242</v>
      </c>
      <c r="O3" s="1" t="s">
        <v>243</v>
      </c>
      <c r="P3" s="1" t="s">
        <v>244</v>
      </c>
      <c r="Q3" s="1" t="s">
        <v>245</v>
      </c>
    </row>
    <row r="4" spans="1:17">
      <c r="A4" s="1">
        <v>3</v>
      </c>
      <c r="B4" s="1" t="s">
        <v>366</v>
      </c>
      <c r="C4" s="2">
        <v>94</v>
      </c>
      <c r="D4" s="5">
        <v>71</v>
      </c>
      <c r="E4" s="2">
        <v>95</v>
      </c>
      <c r="F4" s="3">
        <v>100</v>
      </c>
      <c r="G4" s="1">
        <f t="shared" si="0"/>
        <v>360</v>
      </c>
      <c r="H4" s="1">
        <v>360</v>
      </c>
      <c r="I4" s="1" t="s">
        <v>240</v>
      </c>
      <c r="J4" s="1" t="s">
        <v>365</v>
      </c>
      <c r="K4" s="4">
        <f t="shared" si="1"/>
        <v>82.5</v>
      </c>
      <c r="L4" s="2">
        <f t="shared" si="2"/>
        <v>97.5</v>
      </c>
      <c r="M4" s="1" t="s">
        <v>247</v>
      </c>
      <c r="N4" s="2" t="s">
        <v>248</v>
      </c>
      <c r="O4" s="1" t="s">
        <v>249</v>
      </c>
      <c r="P4" s="1" t="s">
        <v>250</v>
      </c>
      <c r="Q4" s="1" t="s">
        <v>251</v>
      </c>
    </row>
    <row r="5" spans="1:17">
      <c r="A5" s="1">
        <v>4</v>
      </c>
      <c r="B5" s="1" t="s">
        <v>367</v>
      </c>
      <c r="C5" s="4">
        <v>84</v>
      </c>
      <c r="D5" s="5">
        <v>74</v>
      </c>
      <c r="E5" s="3">
        <v>100</v>
      </c>
      <c r="F5" s="2">
        <v>92</v>
      </c>
      <c r="G5" s="1">
        <f t="shared" si="0"/>
        <v>350</v>
      </c>
      <c r="H5" s="1">
        <v>350</v>
      </c>
      <c r="I5" s="1" t="s">
        <v>368</v>
      </c>
      <c r="J5" s="1" t="s">
        <v>365</v>
      </c>
      <c r="K5" s="5">
        <f t="shared" si="1"/>
        <v>79</v>
      </c>
      <c r="L5" s="2">
        <f t="shared" si="2"/>
        <v>96</v>
      </c>
      <c r="M5" s="1" t="s">
        <v>253</v>
      </c>
      <c r="N5" s="4" t="s">
        <v>254</v>
      </c>
      <c r="O5" s="1" t="s">
        <v>255</v>
      </c>
      <c r="P5" s="1" t="s">
        <v>256</v>
      </c>
      <c r="Q5" s="1" t="s">
        <v>257</v>
      </c>
    </row>
    <row r="6" spans="1:17">
      <c r="A6" s="1">
        <v>5</v>
      </c>
      <c r="B6" s="1" t="s">
        <v>369</v>
      </c>
      <c r="C6" s="4">
        <v>83</v>
      </c>
      <c r="D6" s="4">
        <v>84</v>
      </c>
      <c r="E6" s="2">
        <v>92</v>
      </c>
      <c r="F6" s="2">
        <v>96</v>
      </c>
      <c r="G6" s="1">
        <f t="shared" si="0"/>
        <v>355</v>
      </c>
      <c r="H6" s="1">
        <v>350</v>
      </c>
      <c r="I6" s="1" t="s">
        <v>368</v>
      </c>
      <c r="J6" s="1" t="s">
        <v>363</v>
      </c>
      <c r="K6" s="4">
        <f t="shared" si="1"/>
        <v>83.5</v>
      </c>
      <c r="L6" s="2">
        <f t="shared" si="2"/>
        <v>94</v>
      </c>
      <c r="M6" s="1" t="s">
        <v>259</v>
      </c>
      <c r="N6" s="2" t="s">
        <v>260</v>
      </c>
      <c r="O6" s="1" t="s">
        <v>261</v>
      </c>
      <c r="P6" s="1" t="s">
        <v>262</v>
      </c>
      <c r="Q6" s="1" t="s">
        <v>263</v>
      </c>
    </row>
    <row r="7" spans="1:17">
      <c r="A7" s="1">
        <v>6</v>
      </c>
      <c r="B7" s="1" t="s">
        <v>370</v>
      </c>
      <c r="C7" s="2">
        <v>93</v>
      </c>
      <c r="D7" s="2">
        <v>98</v>
      </c>
      <c r="E7" s="4">
        <v>81</v>
      </c>
      <c r="F7" s="6">
        <v>68</v>
      </c>
      <c r="G7" s="1">
        <f t="shared" si="0"/>
        <v>340</v>
      </c>
      <c r="H7" s="1">
        <v>340</v>
      </c>
      <c r="I7" s="1" t="s">
        <v>371</v>
      </c>
      <c r="J7" s="1" t="s">
        <v>365</v>
      </c>
      <c r="K7" s="2">
        <f t="shared" si="1"/>
        <v>95.5</v>
      </c>
      <c r="L7" s="5">
        <f t="shared" si="2"/>
        <v>74.5</v>
      </c>
      <c r="M7" s="1" t="s">
        <v>266</v>
      </c>
      <c r="N7" s="2" t="s">
        <v>267</v>
      </c>
      <c r="O7" s="1" t="s">
        <v>268</v>
      </c>
      <c r="P7" s="1" t="s">
        <v>269</v>
      </c>
      <c r="Q7" s="1" t="s">
        <v>270</v>
      </c>
    </row>
    <row r="8" spans="1:17">
      <c r="A8" s="1">
        <v>7</v>
      </c>
      <c r="B8" s="1" t="s">
        <v>372</v>
      </c>
      <c r="C8" s="4">
        <v>82</v>
      </c>
      <c r="D8" s="2">
        <v>90</v>
      </c>
      <c r="E8" s="2">
        <v>91</v>
      </c>
      <c r="F8" s="4">
        <v>82</v>
      </c>
      <c r="G8" s="1">
        <f t="shared" si="0"/>
        <v>345</v>
      </c>
      <c r="H8" s="1">
        <v>340</v>
      </c>
      <c r="I8" s="1" t="s">
        <v>371</v>
      </c>
      <c r="J8" s="1" t="s">
        <v>363</v>
      </c>
      <c r="K8" s="4">
        <f t="shared" si="1"/>
        <v>86</v>
      </c>
      <c r="L8" s="4">
        <f t="shared" si="2"/>
        <v>86.5</v>
      </c>
      <c r="M8" s="1" t="s">
        <v>272</v>
      </c>
      <c r="N8" s="4" t="s">
        <v>273</v>
      </c>
      <c r="O8" s="1" t="s">
        <v>274</v>
      </c>
      <c r="P8" s="1" t="s">
        <v>275</v>
      </c>
      <c r="Q8" s="1" t="s">
        <v>276</v>
      </c>
    </row>
    <row r="9" spans="1:17">
      <c r="A9" s="1">
        <v>8</v>
      </c>
      <c r="B9" s="1" t="s">
        <v>373</v>
      </c>
      <c r="C9" s="2">
        <v>91</v>
      </c>
      <c r="D9" s="4">
        <v>89</v>
      </c>
      <c r="E9" s="5">
        <v>72</v>
      </c>
      <c r="F9" s="5">
        <v>78</v>
      </c>
      <c r="G9" s="1">
        <f t="shared" si="0"/>
        <v>330</v>
      </c>
      <c r="H9" s="1">
        <v>330</v>
      </c>
      <c r="I9" s="1" t="s">
        <v>265</v>
      </c>
      <c r="J9" s="1" t="s">
        <v>365</v>
      </c>
      <c r="K9" s="2">
        <f t="shared" si="1"/>
        <v>90</v>
      </c>
      <c r="L9" s="5">
        <f t="shared" si="2"/>
        <v>75</v>
      </c>
      <c r="M9" s="1" t="s">
        <v>279</v>
      </c>
      <c r="N9" s="4" t="s">
        <v>280</v>
      </c>
      <c r="O9" s="1" t="s">
        <v>281</v>
      </c>
      <c r="P9" s="1" t="s">
        <v>282</v>
      </c>
      <c r="Q9" s="1" t="s">
        <v>283</v>
      </c>
    </row>
    <row r="10" spans="1:17">
      <c r="A10" s="1">
        <v>9</v>
      </c>
      <c r="B10" s="1" t="s">
        <v>374</v>
      </c>
      <c r="C10" s="4">
        <v>80</v>
      </c>
      <c r="D10" s="4">
        <v>88</v>
      </c>
      <c r="E10" s="4">
        <v>86</v>
      </c>
      <c r="F10" s="4">
        <v>81</v>
      </c>
      <c r="G10" s="1">
        <f t="shared" si="0"/>
        <v>335</v>
      </c>
      <c r="H10" s="1">
        <v>330</v>
      </c>
      <c r="I10" s="1" t="s">
        <v>265</v>
      </c>
      <c r="J10" s="1" t="s">
        <v>363</v>
      </c>
      <c r="K10" s="4">
        <f t="shared" si="1"/>
        <v>84</v>
      </c>
      <c r="L10" s="4">
        <f t="shared" si="2"/>
        <v>83.5</v>
      </c>
      <c r="M10" s="1" t="s">
        <v>285</v>
      </c>
      <c r="N10" s="5" t="s">
        <v>286</v>
      </c>
      <c r="O10" s="1" t="s">
        <v>287</v>
      </c>
      <c r="P10" s="1" t="s">
        <v>288</v>
      </c>
      <c r="Q10" s="1" t="s">
        <v>289</v>
      </c>
    </row>
    <row r="11" spans="1:17">
      <c r="A11" s="1">
        <v>10</v>
      </c>
      <c r="B11" s="1" t="s">
        <v>375</v>
      </c>
      <c r="C11" s="5">
        <v>79</v>
      </c>
      <c r="D11" s="5">
        <v>73</v>
      </c>
      <c r="E11" s="4">
        <v>85</v>
      </c>
      <c r="F11" s="4">
        <v>83</v>
      </c>
      <c r="G11" s="1">
        <f t="shared" si="0"/>
        <v>320</v>
      </c>
      <c r="H11" s="1">
        <v>320</v>
      </c>
      <c r="I11" s="1" t="s">
        <v>376</v>
      </c>
      <c r="J11" s="1" t="s">
        <v>365</v>
      </c>
      <c r="K11" s="5">
        <f t="shared" si="1"/>
        <v>76</v>
      </c>
      <c r="L11" s="4">
        <f t="shared" si="2"/>
        <v>84</v>
      </c>
      <c r="M11" s="1" t="s">
        <v>298</v>
      </c>
      <c r="N11" s="5" t="s">
        <v>299</v>
      </c>
      <c r="O11" s="1" t="s">
        <v>300</v>
      </c>
      <c r="P11" s="1" t="s">
        <v>301</v>
      </c>
      <c r="Q11" s="1" t="s">
        <v>302</v>
      </c>
    </row>
    <row r="12" spans="1:17">
      <c r="A12" s="1">
        <v>11</v>
      </c>
      <c r="B12" s="1" t="s">
        <v>377</v>
      </c>
      <c r="C12" s="4">
        <v>81</v>
      </c>
      <c r="D12" s="4">
        <v>87</v>
      </c>
      <c r="E12" s="5">
        <v>75</v>
      </c>
      <c r="F12" s="5">
        <v>77</v>
      </c>
      <c r="G12" s="1">
        <f t="shared" si="0"/>
        <v>320</v>
      </c>
      <c r="H12" s="1">
        <v>320</v>
      </c>
      <c r="I12" s="1" t="s">
        <v>376</v>
      </c>
      <c r="J12" s="1" t="s">
        <v>365</v>
      </c>
      <c r="K12" s="4">
        <f t="shared" si="1"/>
        <v>84</v>
      </c>
      <c r="L12" s="5">
        <f t="shared" si="2"/>
        <v>76</v>
      </c>
      <c r="M12" s="1"/>
      <c r="N12" s="1"/>
      <c r="O12" s="1"/>
      <c r="P12" s="1"/>
      <c r="Q12" s="1"/>
    </row>
    <row r="13" spans="1:17">
      <c r="A13" s="1">
        <v>12</v>
      </c>
      <c r="B13" s="1" t="s">
        <v>378</v>
      </c>
      <c r="C13" s="3">
        <v>100</v>
      </c>
      <c r="D13" s="2">
        <v>94</v>
      </c>
      <c r="E13" s="4">
        <v>82</v>
      </c>
      <c r="F13" s="4">
        <v>84</v>
      </c>
      <c r="G13" s="1">
        <f t="shared" si="0"/>
        <v>360</v>
      </c>
      <c r="H13" s="1">
        <v>360</v>
      </c>
      <c r="I13" s="1" t="s">
        <v>240</v>
      </c>
      <c r="J13" s="1" t="s">
        <v>365</v>
      </c>
      <c r="K13" s="2">
        <f t="shared" si="1"/>
        <v>97</v>
      </c>
      <c r="L13" s="4">
        <f t="shared" si="2"/>
        <v>83</v>
      </c>
      <c r="M13" s="1" t="s">
        <v>292</v>
      </c>
      <c r="N13" s="5" t="s">
        <v>293</v>
      </c>
      <c r="O13" s="1" t="s">
        <v>294</v>
      </c>
      <c r="P13" s="1" t="s">
        <v>295</v>
      </c>
      <c r="Q13" s="1" t="s">
        <v>296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师培 刘</dc:creator>
  <cp:lastModifiedBy>＜烧梦人＞</cp:lastModifiedBy>
  <dcterms:created xsi:type="dcterms:W3CDTF">2026-04-10T07:41:00Z</dcterms:created>
  <dcterms:modified xsi:type="dcterms:W3CDTF">2026-07-03T05:57:59Z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C3662AF74F554A27A8A95F89BA743B10_12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